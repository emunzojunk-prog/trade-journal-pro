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Trade Log" sheetId="2" state="visible" r:id="rId4"/>
    <sheet name="Dashboard" sheetId="3" state="visible" r:id="rId5"/>
    <sheet name="Risk Calculato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<sst xmlns="http://schemas.openxmlformats.org/spreadsheetml/2006/main" count="73" uniqueCount="72">
  <si>
    <t xml:space="preserve">TRADE JOURNAL PRO</t>
  </si>
  <si>
    <t xml:space="preserve">Track every trade. Know your real edge.</t>
  </si>
  <si>
    <t xml:space="preserve">HOW IT WORKS</t>
  </si>
  <si>
    <t xml:space="preserve">1.  Go to the TRADE LOG tab and enter your trades in the yellow columns.</t>
  </si>
  <si>
    <t xml:space="preserve">2.  Everything else fills in automatically — P&amp;L, R-multiple, win/loss.</t>
  </si>
  <si>
    <t xml:space="preserve">3.  The DASHBOARD tab shows your live stats: win rate, expectancy, profit factor, equity curve.</t>
  </si>
  <si>
    <t xml:space="preserve">4.  Use the RISK CALCULATOR to size every position before you enter.</t>
  </si>
  <si>
    <t xml:space="preserve">COLOR KEY</t>
  </si>
  <si>
    <t xml:space="preserve">Yellow cells  =  you type here</t>
  </si>
  <si>
    <t xml:space="preserve">White cells   =  calculated automatically — don't touch</t>
  </si>
  <si>
    <t xml:space="preserve">THE ONLY 3 NUMBERS THAT MATTER</t>
  </si>
  <si>
    <t xml:space="preserve">Win Rate      — how often you're right</t>
  </si>
  <si>
    <t xml:space="preserve">Expectancy    — average $ you make per trade (this is your edge)</t>
  </si>
  <si>
    <t xml:space="preserve">Profit Factor — gross profit / gross loss. Above 1.5 is strong.</t>
  </si>
  <si>
    <t xml:space="preserve">DISCLAIMER</t>
  </si>
  <si>
    <t xml:space="preserve">This is a tracking tool, not financial advice. Trading involves risk of loss.</t>
  </si>
  <si>
    <t xml:space="preserve">#</t>
  </si>
  <si>
    <t xml:space="preserve">Date</t>
  </si>
  <si>
    <t xml:space="preserve">Ticker</t>
  </si>
  <si>
    <t xml:space="preserve">Direction</t>
  </si>
  <si>
    <t xml:space="preserve">Setup</t>
  </si>
  <si>
    <t xml:space="preserve">Shares</t>
  </si>
  <si>
    <t xml:space="preserve">Entry $</t>
  </si>
  <si>
    <t xml:space="preserve">Exit $</t>
  </si>
  <si>
    <t xml:space="preserve">Stop $</t>
  </si>
  <si>
    <t xml:space="preserve">Fees $</t>
  </si>
  <si>
    <t xml:space="preserve">P&amp;L $</t>
  </si>
  <si>
    <t xml:space="preserve">P&amp;L %</t>
  </si>
  <si>
    <t xml:space="preserve">R</t>
  </si>
  <si>
    <t xml:space="preserve">Result</t>
  </si>
  <si>
    <t xml:space="preserve">Cumulative P&amp;L</t>
  </si>
  <si>
    <t xml:space="preserve">Notes</t>
  </si>
  <si>
    <t xml:space="preserve">PERFORMANCE DASHBOARD</t>
  </si>
  <si>
    <t xml:space="preserve">KEY METRICS</t>
  </si>
  <si>
    <t xml:space="preserve">EDGE METRICS</t>
  </si>
  <si>
    <t xml:space="preserve">Total Trades</t>
  </si>
  <si>
    <t xml:space="preserve">Gross Profit</t>
  </si>
  <si>
    <t xml:space="preserve">Wins</t>
  </si>
  <si>
    <t xml:space="preserve">Gross Loss</t>
  </si>
  <si>
    <t xml:space="preserve">Losses</t>
  </si>
  <si>
    <t xml:space="preserve">Profit Factor</t>
  </si>
  <si>
    <t xml:space="preserve">Win Rate</t>
  </si>
  <si>
    <t xml:space="preserve">Avg Win</t>
  </si>
  <si>
    <t xml:space="preserve">Total Net P&amp;L</t>
  </si>
  <si>
    <t xml:space="preserve">Avg Loss</t>
  </si>
  <si>
    <t xml:space="preserve">Avg P&amp;L / Trade (Expectancy)</t>
  </si>
  <si>
    <t xml:space="preserve">Win/Loss Ratio</t>
  </si>
  <si>
    <t xml:space="preserve">Avg R per Trade</t>
  </si>
  <si>
    <t xml:space="preserve">Total Fees Paid</t>
  </si>
  <si>
    <t xml:space="preserve">BY SETUP  (type your setup names)</t>
  </si>
  <si>
    <t xml:space="preserve">Best / Worst</t>
  </si>
  <si>
    <t xml:space="preserve">Trades</t>
  </si>
  <si>
    <t xml:space="preserve">Net P&amp;L</t>
  </si>
  <si>
    <t xml:space="preserve">Win %</t>
  </si>
  <si>
    <t xml:space="preserve">Breakout</t>
  </si>
  <si>
    <t xml:space="preserve">Gap n Go</t>
  </si>
  <si>
    <t xml:space="preserve">Reversal</t>
  </si>
  <si>
    <t xml:space="preserve">Pullback</t>
  </si>
  <si>
    <t xml:space="preserve">POSITION SIZE CALCULATOR</t>
  </si>
  <si>
    <t xml:space="preserve">Never risk more than you planned. Fill the yellow cells.</t>
  </si>
  <si>
    <t xml:space="preserve">INPUTS</t>
  </si>
  <si>
    <t xml:space="preserve">Account Size</t>
  </si>
  <si>
    <t xml:space="preserve">Risk % per Trade</t>
  </si>
  <si>
    <t xml:space="preserve">Entry Price</t>
  </si>
  <si>
    <t xml:space="preserve">Stop Price</t>
  </si>
  <si>
    <t xml:space="preserve">RESULTS</t>
  </si>
  <si>
    <t xml:space="preserve">$ Risk per Trade</t>
  </si>
  <si>
    <t xml:space="preserve">Risk per Share</t>
  </si>
  <si>
    <t xml:space="preserve">SHARES TO BUY</t>
  </si>
  <si>
    <t xml:space="preserve">Position Size ($)</t>
  </si>
  <si>
    <t xml:space="preserve">% of Account</t>
  </si>
  <si>
    <t xml:space="preserve">Rule of thumb: risk 1% or less per trade. If Position Size exceeds your buying power, lower share count.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</si>
</sst>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;&quot;($&quot;#,##0.00\);\-"/>
    <numFmt numFmtId="166" formatCode="0.0%;\(0.0%\);\-"/>
    <numFmt numFmtId="167" formatCode="0.00\R;\(0.00&quot;R)&quot;;\-"/>
    <numFmt numFmtId="168" formatCode="#,##0"/>
    <numFmt numFmtId="169" formatCode="0.00"/>
    <numFmt numFmtId="170" formatCode="0.0%"/>
    <numFmt numFmtId="171" formatCode="0.00\R"/>
    <numFmt numFmtId="172" formatCode="\$#,##0;&quot;($&quot;#,##0\);\-"/>
    <numFmt numFmtId="173" formatCode="\$#,##0"/>
    <numFmt numFmtId="174" formatCode="\$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2937"/>
      <name val="Arial"/>
      <family val="0"/>
      <charset val="1"/>
    </font>
    <font>
      <i val="true"/>
      <sz val="12"/>
      <color rgb="FF6B7280"/>
      <name val="Arial"/>
      <family val="0"/>
      <charset val="1"/>
    </font>
    <font>
      <b val="true"/>
      <sz val="12"/>
      <color rgb="FF2563EB"/>
      <name val="Arial"/>
      <family val="0"/>
      <charset val="1"/>
    </font>
    <font>
      <sz val="11"/>
      <color rgb="FF37415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1F2937"/>
      <name val="Arial"/>
      <family val="0"/>
      <charset val="1"/>
    </font>
    <font>
      <b val="true"/>
      <sz val="11"/>
      <color rgb="FF374151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color rgb="FF6B728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EF9C3"/>
        <bgColor rgb="FFFFFF99"/>
      </patternFill>
    </fill>
    <fill>
      <patternFill patternType="solid">
        <fgColor rgb="FFE5E7EB"/>
        <bgColor rgb="FFDBEAFE"/>
      </patternFill>
    </fill>
    <fill>
      <patternFill patternType="solid">
        <fgColor rgb="FFDBEAFE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1FAE5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EF9C3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D1FAE5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4A7EBB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Equity Curve (Cumulative P&amp;L)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'Trade Log'!O1</c:f>
              <c:strCache>
                <c:ptCount val="1"/>
                <c:pt idx="0">
                  <c:v>Cumulative P&amp;L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'Trade Log'!$A$2:$A$101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'Trade Log'!$O$2:$O$101</c:f>
              <c:numCache>
                <c:formatCode>General</c:formatCode>
                <c:ptCount val="10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10843"/>
        <c:axId val="33056362"/>
      </c:lineChart>
      <c:catAx>
        <c:axId val="86108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Trade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056362"/>
        <c:crosses val="autoZero"/>
        <c:auto val="1"/>
        <c:lblAlgn val="ctr"/>
        <c:lblOffset val="100"/>
        <c:noMultiLvlLbl val="0"/>
      </c:catAx>
      <c:valAx>
        <c:axId val="330563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Cumulative 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108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0</xdr:rowOff>
    </xdr:from>
    <xdr:to>
      <xdr:col>5</xdr:col>
      <xdr:colOff>965880</xdr:colOff>
      <xdr:row>36</xdr:row>
      <xdr:rowOff>31680</xdr:rowOff>
    </xdr:to>
    <xdr:graphicFrame>
      <xdr:nvGraphicFramePr>
        <xdr:cNvPr id="1" name="Chart 1"/>
        <xdr:cNvGraphicFramePr/>
      </xdr:nvGraphicFramePr>
      <xdr:xfrm>
        <a:off x="211320" y="4276800"/>
        <a:ext cx="5758920" cy="26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5"/>
  </cols>
  <sheetData>
    <row r="2" customFormat="false" ht="26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6" customFormat="false" ht="15" hidden="false" customHeight="true" outlineLevel="0" collapsed="false">
      <c r="B6" s="4" t="s">
        <v>2</v>
      </c>
    </row>
    <row r="7" customFormat="false" ht="15" hidden="false" customHeight="true" outlineLevel="0" collapsed="false">
      <c r="B7" s="5" t="s">
        <v>3</v>
      </c>
    </row>
    <row r="8" customFormat="false" ht="15" hidden="false" customHeight="true" outlineLevel="0" collapsed="false">
      <c r="B8" s="5" t="s">
        <v>4</v>
      </c>
    </row>
    <row r="9" customFormat="false" ht="15" hidden="false" customHeight="true" outlineLevel="0" collapsed="false">
      <c r="B9" s="5" t="s">
        <v>5</v>
      </c>
    </row>
    <row r="10" customFormat="false" ht="15" hidden="false" customHeight="true" outlineLevel="0" collapsed="false">
      <c r="B10" s="5" t="s">
        <v>6</v>
      </c>
    </row>
    <row r="12" customFormat="false" ht="15" hidden="false" customHeight="true" outlineLevel="0" collapsed="false">
      <c r="B12" s="4" t="s">
        <v>7</v>
      </c>
    </row>
    <row r="13" customFormat="false" ht="15" hidden="false" customHeight="true" outlineLevel="0" collapsed="false">
      <c r="B13" s="5" t="s">
        <v>8</v>
      </c>
    </row>
    <row r="14" customFormat="false" ht="15" hidden="false" customHeight="true" outlineLevel="0" collapsed="false">
      <c r="B14" s="5" t="s">
        <v>9</v>
      </c>
    </row>
    <row r="16" customFormat="false" ht="15" hidden="false" customHeight="true" outlineLevel="0" collapsed="false">
      <c r="B16" s="4" t="s">
        <v>10</v>
      </c>
    </row>
    <row r="17" customFormat="false" ht="15" hidden="false" customHeight="true" outlineLevel="0" collapsed="false">
      <c r="B17" s="5" t="s">
        <v>11</v>
      </c>
    </row>
    <row r="18" customFormat="false" ht="15" hidden="false" customHeight="true" outlineLevel="0" collapsed="false">
      <c r="B18" s="5" t="s">
        <v>12</v>
      </c>
    </row>
    <row r="19" customFormat="false" ht="15" hidden="false" customHeight="true" outlineLevel="0" collapsed="false">
      <c r="B19" s="5" t="s">
        <v>13</v>
      </c>
    </row>
    <row r="21" customFormat="false" ht="15" hidden="false" customHeight="true" outlineLevel="0" collapsed="false">
      <c r="B21" s="4" t="s">
        <v>14</v>
      </c>
    </row>
    <row r="22" customFormat="false" ht="15" hidden="false" customHeight="true" outlineLevel="0" collapsed="false">
      <c r="B22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8"/>
    <col collapsed="false" customWidth="true" hidden="false" outlineLevel="0" max="9" min="7" style="1" width="9"/>
    <col collapsed="false" customWidth="true" hidden="false" outlineLevel="0" max="10" min="10" style="1" width="8"/>
    <col collapsed="false" customWidth="true" hidden="false" outlineLevel="0" max="11" min="11" style="1" width="11"/>
    <col collapsed="false" customWidth="true" hidden="false" outlineLevel="0" max="12" min="12" style="1" width="9"/>
    <col collapsed="false" customWidth="true" hidden="false" outlineLevel="0" max="13" min="13" style="1" width="7"/>
    <col collapsed="false" customWidth="true" hidden="false" outlineLevel="0" max="14" min="14" style="1" width="9"/>
    <col collapsed="false" customWidth="true" hidden="false" outlineLevel="0" max="15" min="15" style="1" width="15"/>
    <col collapsed="false" customWidth="true" hidden="false" outlineLevel="0" max="16" min="16" style="1" width="30"/>
  </cols>
  <sheetData>
    <row r="1" customFormat="false" ht="27.75" hidden="false" customHeight="true" outlineLevel="0" collapsed="false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</row>
    <row r="2" customFormat="false" ht="15" hidden="false" customHeight="true" outlineLevel="0" collapsed="false">
      <c r="A2" s="7" t="n">
        <v>1</v>
      </c>
      <c r="B2" s="8"/>
      <c r="C2" s="8"/>
      <c r="D2" s="8"/>
      <c r="E2" s="8"/>
      <c r="F2" s="8"/>
      <c r="G2" s="9"/>
      <c r="H2" s="9"/>
      <c r="I2" s="9"/>
      <c r="J2" s="9"/>
      <c r="K2" s="10" t="str">
        <f aca="false">IF($G2="","",(IF($D2="Short",$G2-$H2,$H2-$G2)*$F2)-IF($J2="",0,$J2))</f>
        <v/>
      </c>
      <c r="L2" s="11" t="str">
        <f aca="false">IF(OR($G2="",$H2=""),"",$K2/($G2*$F2))</f>
        <v/>
      </c>
      <c r="M2" s="12" t="str">
        <f aca="false">IF(OR($G2="",$I2="",$G2=$I2),"",$K2/(ABS($G2-$I2)*$F2))</f>
        <v/>
      </c>
      <c r="N2" s="7" t="str">
        <f aca="false">IF($K2="","",IF($K2&gt;0,"Win",IF($K2&lt;0,"Loss","BE")))</f>
        <v/>
      </c>
      <c r="O2" s="10" t="str">
        <f aca="false">IF($K2="","",SUMIF($K$2:$K2,"&lt;&gt;"))</f>
        <v/>
      </c>
      <c r="P2" s="13"/>
    </row>
    <row r="3" customFormat="false" ht="15" hidden="false" customHeight="true" outlineLevel="0" collapsed="false">
      <c r="A3" s="7" t="n">
        <v>2</v>
      </c>
      <c r="B3" s="8"/>
      <c r="C3" s="8"/>
      <c r="D3" s="8"/>
      <c r="E3" s="8"/>
      <c r="F3" s="8"/>
      <c r="G3" s="9"/>
      <c r="H3" s="9"/>
      <c r="I3" s="9"/>
      <c r="J3" s="9"/>
      <c r="K3" s="10" t="str">
        <f aca="false">IF($G3="","",(IF($D3="Short",$G3-$H3,$H3-$G3)*$F3)-IF($J3="",0,$J3))</f>
        <v/>
      </c>
      <c r="L3" s="11" t="str">
        <f aca="false">IF(OR($G3="",$H3=""),"",$K3/($G3*$F3))</f>
        <v/>
      </c>
      <c r="M3" s="12" t="str">
        <f aca="false">IF(OR($G3="",$I3="",$G3=$I3),"",$K3/(ABS($G3-$I3)*$F3))</f>
        <v/>
      </c>
      <c r="N3" s="7" t="str">
        <f aca="false">IF($K3="","",IF($K3&gt;0,"Win",IF($K3&lt;0,"Loss","BE")))</f>
        <v/>
      </c>
      <c r="O3" s="10" t="str">
        <f aca="false">IF($K3="","",SUMIF($K$2:$K3,"&lt;&gt;"))</f>
        <v/>
      </c>
      <c r="P3" s="13"/>
    </row>
    <row r="4" customFormat="false" ht="15" hidden="false" customHeight="true" outlineLevel="0" collapsed="false">
      <c r="A4" s="7" t="n">
        <v>3</v>
      </c>
      <c r="B4" s="8"/>
      <c r="C4" s="8"/>
      <c r="D4" s="8"/>
      <c r="E4" s="8"/>
      <c r="F4" s="8"/>
      <c r="G4" s="9"/>
      <c r="H4" s="9"/>
      <c r="I4" s="9"/>
      <c r="J4" s="9"/>
      <c r="K4" s="10" t="str">
        <f aca="false">IF($G4="","",(IF($D4="Short",$G4-$H4,$H4-$G4)*$F4)-IF($J4="",0,$J4))</f>
        <v/>
      </c>
      <c r="L4" s="11" t="str">
        <f aca="false">IF(OR($G4="",$H4=""),"",$K4/($G4*$F4))</f>
        <v/>
      </c>
      <c r="M4" s="12" t="str">
        <f aca="false">IF(OR($G4="",$I4="",$G4=$I4),"",$K4/(ABS($G4-$I4)*$F4))</f>
        <v/>
      </c>
      <c r="N4" s="7" t="str">
        <f aca="false">IF($K4="","",IF($K4&gt;0,"Win",IF($K4&lt;0,"Loss","BE")))</f>
        <v/>
      </c>
      <c r="O4" s="10" t="str">
        <f aca="false">IF($K4="","",SUMIF($K$2:$K4,"&lt;&gt;"))</f>
        <v/>
      </c>
      <c r="P4" s="13"/>
    </row>
    <row r="5" customFormat="false" ht="15" hidden="false" customHeight="true" outlineLevel="0" collapsed="false">
      <c r="A5" s="7" t="n">
        <v>4</v>
      </c>
      <c r="B5" s="8"/>
      <c r="C5" s="8"/>
      <c r="D5" s="8"/>
      <c r="E5" s="8"/>
      <c r="F5" s="8"/>
      <c r="G5" s="9"/>
      <c r="H5" s="9"/>
      <c r="I5" s="9"/>
      <c r="J5" s="9"/>
      <c r="K5" s="10" t="str">
        <f aca="false">IF($G5="","",(IF($D5="Short",$G5-$H5,$H5-$G5)*$F5)-IF($J5="",0,$J5))</f>
        <v/>
      </c>
      <c r="L5" s="11" t="str">
        <f aca="false">IF(OR($G5="",$H5=""),"",$K5/($G5*$F5))</f>
        <v/>
      </c>
      <c r="M5" s="12" t="str">
        <f aca="false">IF(OR($G5="",$I5="",$G5=$I5),"",$K5/(ABS($G5-$I5)*$F5))</f>
        <v/>
      </c>
      <c r="N5" s="7" t="str">
        <f aca="false">IF($K5="","",IF($K5&gt;0,"Win",IF($K5&lt;0,"Loss","BE")))</f>
        <v/>
      </c>
      <c r="O5" s="10" t="str">
        <f aca="false">IF($K5="","",SUMIF($K$2:$K5,"&lt;&gt;"))</f>
        <v/>
      </c>
      <c r="P5" s="13"/>
    </row>
    <row r="6" customFormat="false" ht="15" hidden="false" customHeight="true" outlineLevel="0" collapsed="false">
      <c r="A6" s="7" t="n">
        <v>5</v>
      </c>
      <c r="B6" s="8"/>
      <c r="C6" s="8"/>
      <c r="D6" s="8"/>
      <c r="E6" s="8"/>
      <c r="F6" s="8"/>
      <c r="G6" s="9"/>
      <c r="H6" s="9"/>
      <c r="I6" s="9"/>
      <c r="J6" s="9"/>
      <c r="K6" s="10" t="str">
        <f aca="false">IF($G6="","",(IF($D6="Short",$G6-$H6,$H6-$G6)*$F6)-IF($J6="",0,$J6))</f>
        <v/>
      </c>
      <c r="L6" s="11" t="str">
        <f aca="false">IF(OR($G6="",$H6=""),"",$K6/($G6*$F6))</f>
        <v/>
      </c>
      <c r="M6" s="12" t="str">
        <f aca="false">IF(OR($G6="",$I6="",$G6=$I6),"",$K6/(ABS($G6-$I6)*$F6))</f>
        <v/>
      </c>
      <c r="N6" s="7" t="str">
        <f aca="false">IF($K6="","",IF($K6&gt;0,"Win",IF($K6&lt;0,"Loss","BE")))</f>
        <v/>
      </c>
      <c r="O6" s="10" t="str">
        <f aca="false">IF($K6="","",SUMIF($K$2:$K6,"&lt;&gt;"))</f>
        <v/>
      </c>
      <c r="P6" s="13"/>
    </row>
    <row r="7" customFormat="false" ht="15" hidden="false" customHeight="true" outlineLevel="0" collapsed="false">
      <c r="A7" s="7" t="n">
        <v>6</v>
      </c>
      <c r="B7" s="8"/>
      <c r="C7" s="8"/>
      <c r="D7" s="8"/>
      <c r="E7" s="8"/>
      <c r="F7" s="8"/>
      <c r="G7" s="9"/>
      <c r="H7" s="9"/>
      <c r="I7" s="9"/>
      <c r="J7" s="9"/>
      <c r="K7" s="10" t="str">
        <f aca="false">IF($G7="","",(IF($D7="Short",$G7-$H7,$H7-$G7)*$F7)-IF($J7="",0,$J7))</f>
        <v/>
      </c>
      <c r="L7" s="11" t="str">
        <f aca="false">IF(OR($G7="",$H7=""),"",$K7/($G7*$F7))</f>
        <v/>
      </c>
      <c r="M7" s="12" t="str">
        <f aca="false">IF(OR($G7="",$I7="",$G7=$I7),"",$K7/(ABS($G7-$I7)*$F7))</f>
        <v/>
      </c>
      <c r="N7" s="7" t="str">
        <f aca="false">IF($K7="","",IF($K7&gt;0,"Win",IF($K7&lt;0,"Loss","BE")))</f>
        <v/>
      </c>
      <c r="O7" s="10" t="str">
        <f aca="false">IF($K7="","",SUMIF($K$2:$K7,"&lt;&gt;"))</f>
        <v/>
      </c>
      <c r="P7" s="13"/>
    </row>
    <row r="8" customFormat="false" ht="15" hidden="false" customHeight="true" outlineLevel="0" collapsed="false">
      <c r="A8" s="7" t="n">
        <v>7</v>
      </c>
      <c r="B8" s="8"/>
      <c r="C8" s="8"/>
      <c r="D8" s="8"/>
      <c r="E8" s="8"/>
      <c r="F8" s="8"/>
      <c r="G8" s="9"/>
      <c r="H8" s="9"/>
      <c r="I8" s="9"/>
      <c r="J8" s="9"/>
      <c r="K8" s="10" t="str">
        <f aca="false">IF($G8="","",(IF($D8="Short",$G8-$H8,$H8-$G8)*$F8)-IF($J8="",0,$J8))</f>
        <v/>
      </c>
      <c r="L8" s="11" t="str">
        <f aca="false">IF(OR($G8="",$H8=""),"",$K8/($G8*$F8))</f>
        <v/>
      </c>
      <c r="M8" s="12" t="str">
        <f aca="false">IF(OR($G8="",$I8="",$G8=$I8),"",$K8/(ABS($G8-$I8)*$F8))</f>
        <v/>
      </c>
      <c r="N8" s="7" t="str">
        <f aca="false">IF($K8="","",IF($K8&gt;0,"Win",IF($K8&lt;0,"Loss","BE")))</f>
        <v/>
      </c>
      <c r="O8" s="10" t="str">
        <f aca="false">IF($K8="","",SUMIF($K$2:$K8,"&lt;&gt;"))</f>
        <v/>
      </c>
      <c r="P8" s="13"/>
    </row>
    <row r="9" customFormat="false" ht="15" hidden="false" customHeight="true" outlineLevel="0" collapsed="false">
      <c r="A9" s="7" t="n">
        <v>8</v>
      </c>
      <c r="B9" s="8"/>
      <c r="C9" s="8"/>
      <c r="D9" s="8"/>
      <c r="E9" s="8"/>
      <c r="F9" s="8"/>
      <c r="G9" s="9"/>
      <c r="H9" s="9"/>
      <c r="I9" s="9"/>
      <c r="J9" s="9"/>
      <c r="K9" s="10" t="str">
        <f aca="false">IF($G9="","",(IF($D9="Short",$G9-$H9,$H9-$G9)*$F9)-IF($J9="",0,$J9))</f>
        <v/>
      </c>
      <c r="L9" s="11" t="str">
        <f aca="false">IF(OR($G9="",$H9=""),"",$K9/($G9*$F9))</f>
        <v/>
      </c>
      <c r="M9" s="12" t="str">
        <f aca="false">IF(OR($G9="",$I9="",$G9=$I9),"",$K9/(ABS($G9-$I9)*$F9))</f>
        <v/>
      </c>
      <c r="N9" s="7" t="str">
        <f aca="false">IF($K9="","",IF($K9&gt;0,"Win",IF($K9&lt;0,"Loss","BE")))</f>
        <v/>
      </c>
      <c r="O9" s="10" t="str">
        <f aca="false">IF($K9="","",SUMIF($K$2:$K9,"&lt;&gt;"))</f>
        <v/>
      </c>
      <c r="P9" s="13"/>
    </row>
    <row r="10" customFormat="false" ht="15" hidden="false" customHeight="true" outlineLevel="0" collapsed="false">
      <c r="A10" s="7" t="n">
        <v>9</v>
      </c>
      <c r="B10" s="8"/>
      <c r="C10" s="8"/>
      <c r="D10" s="8"/>
      <c r="E10" s="8"/>
      <c r="F10" s="8"/>
      <c r="G10" s="9"/>
      <c r="H10" s="9"/>
      <c r="I10" s="9"/>
      <c r="J10" s="9"/>
      <c r="K10" s="10" t="str">
        <f aca="false">IF($G10="","",(IF($D10="Short",$G10-$H10,$H10-$G10)*$F10)-IF($J10="",0,$J10))</f>
        <v/>
      </c>
      <c r="L10" s="11" t="str">
        <f aca="false">IF(OR($G10="",$H10=""),"",$K10/($G10*$F10))</f>
        <v/>
      </c>
      <c r="M10" s="12" t="str">
        <f aca="false">IF(OR($G10="",$I10="",$G10=$I10),"",$K10/(ABS($G10-$I10)*$F10))</f>
        <v/>
      </c>
      <c r="N10" s="7" t="str">
        <f aca="false">IF($K10="","",IF($K10&gt;0,"Win",IF($K10&lt;0,"Loss","BE")))</f>
        <v/>
      </c>
      <c r="O10" s="10" t="str">
        <f aca="false">IF($K10="","",SUMIF($K$2:$K10,"&lt;&gt;"))</f>
        <v/>
      </c>
      <c r="P10" s="13"/>
    </row>
    <row r="11" customFormat="false" ht="15" hidden="false" customHeight="true" outlineLevel="0" collapsed="false">
      <c r="A11" s="7" t="n">
        <v>10</v>
      </c>
      <c r="B11" s="8"/>
      <c r="C11" s="8"/>
      <c r="D11" s="8"/>
      <c r="E11" s="8"/>
      <c r="F11" s="8"/>
      <c r="G11" s="9"/>
      <c r="H11" s="9"/>
      <c r="I11" s="9"/>
      <c r="J11" s="9"/>
      <c r="K11" s="10" t="str">
        <f aca="false">IF($G11="","",(IF($D11="Short",$G11-$H11,$H11-$G11)*$F11)-IF($J11="",0,$J11))</f>
        <v/>
      </c>
      <c r="L11" s="11" t="str">
        <f aca="false">IF(OR($G11="",$H11=""),"",$K11/($G11*$F11))</f>
        <v/>
      </c>
      <c r="M11" s="12" t="str">
        <f aca="false">IF(OR($G11="",$I11="",$G11=$I11),"",$K11/(ABS($G11-$I11)*$F11))</f>
        <v/>
      </c>
      <c r="N11" s="7" t="str">
        <f aca="false">IF($K11="","",IF($K11&gt;0,"Win",IF($K11&lt;0,"Loss","BE")))</f>
        <v/>
      </c>
      <c r="O11" s="10" t="str">
        <f aca="false">IF($K11="","",SUMIF($K$2:$K11,"&lt;&gt;"))</f>
        <v/>
      </c>
      <c r="P11" s="13"/>
    </row>
    <row r="12" customFormat="false" ht="15" hidden="false" customHeight="true" outlineLevel="0" collapsed="false">
      <c r="A12" s="7" t="n">
        <v>11</v>
      </c>
      <c r="B12" s="8"/>
      <c r="C12" s="8"/>
      <c r="D12" s="8"/>
      <c r="E12" s="8"/>
      <c r="F12" s="8"/>
      <c r="G12" s="9"/>
      <c r="H12" s="9"/>
      <c r="I12" s="9"/>
      <c r="J12" s="9"/>
      <c r="K12" s="10" t="str">
        <f aca="false">IF($G12="","",(IF($D12="Short",$G12-$H12,$H12-$G12)*$F12)-IF($J12="",0,$J12))</f>
        <v/>
      </c>
      <c r="L12" s="11" t="str">
        <f aca="false">IF(OR($G12="",$H12=""),"",$K12/($G12*$F12))</f>
        <v/>
      </c>
      <c r="M12" s="12" t="str">
        <f aca="false">IF(OR($G12="",$I12="",$G12=$I12),"",$K12/(ABS($G12-$I12)*$F12))</f>
        <v/>
      </c>
      <c r="N12" s="7" t="str">
        <f aca="false">IF($K12="","",IF($K12&gt;0,"Win",IF($K12&lt;0,"Loss","BE")))</f>
        <v/>
      </c>
      <c r="O12" s="10" t="str">
        <f aca="false">IF($K12="","",SUMIF($K$2:$K12,"&lt;&gt;"))</f>
        <v/>
      </c>
      <c r="P12" s="13"/>
    </row>
    <row r="13" customFormat="false" ht="15" hidden="false" customHeight="true" outlineLevel="0" collapsed="false">
      <c r="A13" s="7" t="n">
        <v>12</v>
      </c>
      <c r="B13" s="8"/>
      <c r="C13" s="8"/>
      <c r="D13" s="8"/>
      <c r="E13" s="8"/>
      <c r="F13" s="8"/>
      <c r="G13" s="9"/>
      <c r="H13" s="9"/>
      <c r="I13" s="9"/>
      <c r="J13" s="9"/>
      <c r="K13" s="10" t="str">
        <f aca="false">IF($G13="","",(IF($D13="Short",$G13-$H13,$H13-$G13)*$F13)-IF($J13="",0,$J13))</f>
        <v/>
      </c>
      <c r="L13" s="11" t="str">
        <f aca="false">IF(OR($G13="",$H13=""),"",$K13/($G13*$F13))</f>
        <v/>
      </c>
      <c r="M13" s="12" t="str">
        <f aca="false">IF(OR($G13="",$I13="",$G13=$I13),"",$K13/(ABS($G13-$I13)*$F13))</f>
        <v/>
      </c>
      <c r="N13" s="7" t="str">
        <f aca="false">IF($K13="","",IF($K13&gt;0,"Win",IF($K13&lt;0,"Loss","BE")))</f>
        <v/>
      </c>
      <c r="O13" s="10" t="str">
        <f aca="false">IF($K13="","",SUMIF($K$2:$K13,"&lt;&gt;"))</f>
        <v/>
      </c>
      <c r="P13" s="13"/>
    </row>
    <row r="14" customFormat="false" ht="15" hidden="false" customHeight="true" outlineLevel="0" collapsed="false">
      <c r="A14" s="7" t="n">
        <v>13</v>
      </c>
      <c r="B14" s="8"/>
      <c r="C14" s="8"/>
      <c r="D14" s="8"/>
      <c r="E14" s="8"/>
      <c r="F14" s="8"/>
      <c r="G14" s="9"/>
      <c r="H14" s="9"/>
      <c r="I14" s="9"/>
      <c r="J14" s="9"/>
      <c r="K14" s="10" t="str">
        <f aca="false">IF($G14="","",(IF($D14="Short",$G14-$H14,$H14-$G14)*$F14)-IF($J14="",0,$J14))</f>
        <v/>
      </c>
      <c r="L14" s="11" t="str">
        <f aca="false">IF(OR($G14="",$H14=""),"",$K14/($G14*$F14))</f>
        <v/>
      </c>
      <c r="M14" s="12" t="str">
        <f aca="false">IF(OR($G14="",$I14="",$G14=$I14),"",$K14/(ABS($G14-$I14)*$F14))</f>
        <v/>
      </c>
      <c r="N14" s="7" t="str">
        <f aca="false">IF($K14="","",IF($K14&gt;0,"Win",IF($K14&lt;0,"Loss","BE")))</f>
        <v/>
      </c>
      <c r="O14" s="10" t="str">
        <f aca="false">IF($K14="","",SUMIF($K$2:$K14,"&lt;&gt;"))</f>
        <v/>
      </c>
      <c r="P14" s="13"/>
    </row>
    <row r="15" customFormat="false" ht="15" hidden="false" customHeight="true" outlineLevel="0" collapsed="false">
      <c r="A15" s="7" t="n">
        <v>14</v>
      </c>
      <c r="B15" s="8"/>
      <c r="C15" s="8"/>
      <c r="D15" s="8"/>
      <c r="E15" s="8"/>
      <c r="F15" s="8"/>
      <c r="G15" s="9"/>
      <c r="H15" s="9"/>
      <c r="I15" s="9"/>
      <c r="J15" s="9"/>
      <c r="K15" s="10" t="str">
        <f aca="false">IF($G15="","",(IF($D15="Short",$G15-$H15,$H15-$G15)*$F15)-IF($J15="",0,$J15))</f>
        <v/>
      </c>
      <c r="L15" s="11" t="str">
        <f aca="false">IF(OR($G15="",$H15=""),"",$K15/($G15*$F15))</f>
        <v/>
      </c>
      <c r="M15" s="12" t="str">
        <f aca="false">IF(OR($G15="",$I15="",$G15=$I15),"",$K15/(ABS($G15-$I15)*$F15))</f>
        <v/>
      </c>
      <c r="N15" s="7" t="str">
        <f aca="false">IF($K15="","",IF($K15&gt;0,"Win",IF($K15&lt;0,"Loss","BE")))</f>
        <v/>
      </c>
      <c r="O15" s="10" t="str">
        <f aca="false">IF($K15="","",SUMIF($K$2:$K15,"&lt;&gt;"))</f>
        <v/>
      </c>
      <c r="P15" s="13"/>
    </row>
    <row r="16" customFormat="false" ht="15" hidden="false" customHeight="true" outlineLevel="0" collapsed="false">
      <c r="A16" s="7" t="n">
        <v>15</v>
      </c>
      <c r="B16" s="8"/>
      <c r="C16" s="8"/>
      <c r="D16" s="8"/>
      <c r="E16" s="8"/>
      <c r="F16" s="8"/>
      <c r="G16" s="9"/>
      <c r="H16" s="9"/>
      <c r="I16" s="9"/>
      <c r="J16" s="9"/>
      <c r="K16" s="10" t="str">
        <f aca="false">IF($G16="","",(IF($D16="Short",$G16-$H16,$H16-$G16)*$F16)-IF($J16="",0,$J16))</f>
        <v/>
      </c>
      <c r="L16" s="11" t="str">
        <f aca="false">IF(OR($G16="",$H16=""),"",$K16/($G16*$F16))</f>
        <v/>
      </c>
      <c r="M16" s="12" t="str">
        <f aca="false">IF(OR($G16="",$I16="",$G16=$I16),"",$K16/(ABS($G16-$I16)*$F16))</f>
        <v/>
      </c>
      <c r="N16" s="7" t="str">
        <f aca="false">IF($K16="","",IF($K16&gt;0,"Win",IF($K16&lt;0,"Loss","BE")))</f>
        <v/>
      </c>
      <c r="O16" s="10" t="str">
        <f aca="false">IF($K16="","",SUMIF($K$2:$K16,"&lt;&gt;"))</f>
        <v/>
      </c>
      <c r="P16" s="13"/>
    </row>
    <row r="17" customFormat="false" ht="15" hidden="false" customHeight="true" outlineLevel="0" collapsed="false">
      <c r="A17" s="7" t="n">
        <v>16</v>
      </c>
      <c r="B17" s="8"/>
      <c r="C17" s="8"/>
      <c r="D17" s="8"/>
      <c r="E17" s="8"/>
      <c r="F17" s="8"/>
      <c r="G17" s="9"/>
      <c r="H17" s="9"/>
      <c r="I17" s="9"/>
      <c r="J17" s="9"/>
      <c r="K17" s="10" t="str">
        <f aca="false">IF($G17="","",(IF($D17="Short",$G17-$H17,$H17-$G17)*$F17)-IF($J17="",0,$J17))</f>
        <v/>
      </c>
      <c r="L17" s="11" t="str">
        <f aca="false">IF(OR($G17="",$H17=""),"",$K17/($G17*$F17))</f>
        <v/>
      </c>
      <c r="M17" s="12" t="str">
        <f aca="false">IF(OR($G17="",$I17="",$G17=$I17),"",$K17/(ABS($G17-$I17)*$F17))</f>
        <v/>
      </c>
      <c r="N17" s="7" t="str">
        <f aca="false">IF($K17="","",IF($K17&gt;0,"Win",IF($K17&lt;0,"Loss","BE")))</f>
        <v/>
      </c>
      <c r="O17" s="10" t="str">
        <f aca="false">IF($K17="","",SUMIF($K$2:$K17,"&lt;&gt;"))</f>
        <v/>
      </c>
      <c r="P17" s="13"/>
    </row>
    <row r="18" customFormat="false" ht="15" hidden="false" customHeight="true" outlineLevel="0" collapsed="false">
      <c r="A18" s="7" t="n">
        <v>17</v>
      </c>
      <c r="B18" s="8"/>
      <c r="C18" s="8"/>
      <c r="D18" s="8"/>
      <c r="E18" s="8"/>
      <c r="F18" s="8"/>
      <c r="G18" s="9"/>
      <c r="H18" s="9"/>
      <c r="I18" s="9"/>
      <c r="J18" s="9"/>
      <c r="K18" s="10" t="str">
        <f aca="false">IF($G18="","",(IF($D18="Short",$G18-$H18,$H18-$G18)*$F18)-IF($J18="",0,$J18))</f>
        <v/>
      </c>
      <c r="L18" s="11" t="str">
        <f aca="false">IF(OR($G18="",$H18=""),"",$K18/($G18*$F18))</f>
        <v/>
      </c>
      <c r="M18" s="12" t="str">
        <f aca="false">IF(OR($G18="",$I18="",$G18=$I18),"",$K18/(ABS($G18-$I18)*$F18))</f>
        <v/>
      </c>
      <c r="N18" s="7" t="str">
        <f aca="false">IF($K18="","",IF($K18&gt;0,"Win",IF($K18&lt;0,"Loss","BE")))</f>
        <v/>
      </c>
      <c r="O18" s="10" t="str">
        <f aca="false">IF($K18="","",SUMIF($K$2:$K18,"&lt;&gt;"))</f>
        <v/>
      </c>
      <c r="P18" s="13"/>
    </row>
    <row r="19" customFormat="false" ht="15" hidden="false" customHeight="true" outlineLevel="0" collapsed="false">
      <c r="A19" s="7" t="n">
        <v>18</v>
      </c>
      <c r="B19" s="8"/>
      <c r="C19" s="8"/>
      <c r="D19" s="8"/>
      <c r="E19" s="8"/>
      <c r="F19" s="8"/>
      <c r="G19" s="9"/>
      <c r="H19" s="9"/>
      <c r="I19" s="9"/>
      <c r="J19" s="9"/>
      <c r="K19" s="10" t="str">
        <f aca="false">IF($G19="","",(IF($D19="Short",$G19-$H19,$H19-$G19)*$F19)-IF($J19="",0,$J19))</f>
        <v/>
      </c>
      <c r="L19" s="11" t="str">
        <f aca="false">IF(OR($G19="",$H19=""),"",$K19/($G19*$F19))</f>
        <v/>
      </c>
      <c r="M19" s="12" t="str">
        <f aca="false">IF(OR($G19="",$I19="",$G19=$I19),"",$K19/(ABS($G19-$I19)*$F19))</f>
        <v/>
      </c>
      <c r="N19" s="7" t="str">
        <f aca="false">IF($K19="","",IF($K19&gt;0,"Win",IF($K19&lt;0,"Loss","BE")))</f>
        <v/>
      </c>
      <c r="O19" s="10" t="str">
        <f aca="false">IF($K19="","",SUMIF($K$2:$K19,"&lt;&gt;"))</f>
        <v/>
      </c>
      <c r="P19" s="13"/>
    </row>
    <row r="20" customFormat="false" ht="15" hidden="false" customHeight="true" outlineLevel="0" collapsed="false">
      <c r="A20" s="7" t="n">
        <v>19</v>
      </c>
      <c r="B20" s="8"/>
      <c r="C20" s="8"/>
      <c r="D20" s="8"/>
      <c r="E20" s="8"/>
      <c r="F20" s="8"/>
      <c r="G20" s="9"/>
      <c r="H20" s="9"/>
      <c r="I20" s="9"/>
      <c r="J20" s="9"/>
      <c r="K20" s="10" t="str">
        <f aca="false">IF($G20="","",(IF($D20="Short",$G20-$H20,$H20-$G20)*$F20)-IF($J20="",0,$J20))</f>
        <v/>
      </c>
      <c r="L20" s="11" t="str">
        <f aca="false">IF(OR($G20="",$H20=""),"",$K20/($G20*$F20))</f>
        <v/>
      </c>
      <c r="M20" s="12" t="str">
        <f aca="false">IF(OR($G20="",$I20="",$G20=$I20),"",$K20/(ABS($G20-$I20)*$F20))</f>
        <v/>
      </c>
      <c r="N20" s="7" t="str">
        <f aca="false">IF($K20="","",IF($K20&gt;0,"Win",IF($K20&lt;0,"Loss","BE")))</f>
        <v/>
      </c>
      <c r="O20" s="10" t="str">
        <f aca="false">IF($K20="","",SUMIF($K$2:$K20,"&lt;&gt;"))</f>
        <v/>
      </c>
      <c r="P20" s="13"/>
    </row>
    <row r="21" customFormat="false" ht="15" hidden="false" customHeight="true" outlineLevel="0" collapsed="false">
      <c r="A21" s="7" t="n">
        <v>20</v>
      </c>
      <c r="B21" s="8"/>
      <c r="C21" s="8"/>
      <c r="D21" s="8"/>
      <c r="E21" s="8"/>
      <c r="F21" s="8"/>
      <c r="G21" s="9"/>
      <c r="H21" s="9"/>
      <c r="I21" s="9"/>
      <c r="J21" s="9"/>
      <c r="K21" s="10" t="str">
        <f aca="false">IF($G21="","",(IF($D21="Short",$G21-$H21,$H21-$G21)*$F21)-IF($J21="",0,$J21))</f>
        <v/>
      </c>
      <c r="L21" s="11" t="str">
        <f aca="false">IF(OR($G21="",$H21=""),"",$K21/($G21*$F21))</f>
        <v/>
      </c>
      <c r="M21" s="12" t="str">
        <f aca="false">IF(OR($G21="",$I21="",$G21=$I21),"",$K21/(ABS($G21-$I21)*$F21))</f>
        <v/>
      </c>
      <c r="N21" s="7" t="str">
        <f aca="false">IF($K21="","",IF($K21&gt;0,"Win",IF($K21&lt;0,"Loss","BE")))</f>
        <v/>
      </c>
      <c r="O21" s="10" t="str">
        <f aca="false">IF($K21="","",SUMIF($K$2:$K21,"&lt;&gt;"))</f>
        <v/>
      </c>
      <c r="P21" s="13"/>
    </row>
    <row r="22" customFormat="false" ht="15" hidden="false" customHeight="true" outlineLevel="0" collapsed="false">
      <c r="A22" s="7" t="n">
        <v>21</v>
      </c>
      <c r="B22" s="8"/>
      <c r="C22" s="8"/>
      <c r="D22" s="8"/>
      <c r="E22" s="8"/>
      <c r="F22" s="8"/>
      <c r="G22" s="9"/>
      <c r="H22" s="9"/>
      <c r="I22" s="9"/>
      <c r="J22" s="9"/>
      <c r="K22" s="10" t="str">
        <f aca="false">IF($G22="","",(IF($D22="Short",$G22-$H22,$H22-$G22)*$F22)-IF($J22="",0,$J22))</f>
        <v/>
      </c>
      <c r="L22" s="11" t="str">
        <f aca="false">IF(OR($G22="",$H22=""),"",$K22/($G22*$F22))</f>
        <v/>
      </c>
      <c r="M22" s="12" t="str">
        <f aca="false">IF(OR($G22="",$I22="",$G22=$I22),"",$K22/(ABS($G22-$I22)*$F22))</f>
        <v/>
      </c>
      <c r="N22" s="7" t="str">
        <f aca="false">IF($K22="","",IF($K22&gt;0,"Win",IF($K22&lt;0,"Loss","BE")))</f>
        <v/>
      </c>
      <c r="O22" s="10" t="str">
        <f aca="false">IF($K22="","",SUMIF($K$2:$K22,"&lt;&gt;"))</f>
        <v/>
      </c>
      <c r="P22" s="13"/>
    </row>
    <row r="23" customFormat="false" ht="15" hidden="false" customHeight="true" outlineLevel="0" collapsed="false">
      <c r="A23" s="7" t="n">
        <v>22</v>
      </c>
      <c r="B23" s="8"/>
      <c r="C23" s="8"/>
      <c r="D23" s="8"/>
      <c r="E23" s="8"/>
      <c r="F23" s="8"/>
      <c r="G23" s="9"/>
      <c r="H23" s="9"/>
      <c r="I23" s="9"/>
      <c r="J23" s="9"/>
      <c r="K23" s="10" t="str">
        <f aca="false">IF($G23="","",(IF($D23="Short",$G23-$H23,$H23-$G23)*$F23)-IF($J23="",0,$J23))</f>
        <v/>
      </c>
      <c r="L23" s="11" t="str">
        <f aca="false">IF(OR($G23="",$H23=""),"",$K23/($G23*$F23))</f>
        <v/>
      </c>
      <c r="M23" s="12" t="str">
        <f aca="false">IF(OR($G23="",$I23="",$G23=$I23),"",$K23/(ABS($G23-$I23)*$F23))</f>
        <v/>
      </c>
      <c r="N23" s="7" t="str">
        <f aca="false">IF($K23="","",IF($K23&gt;0,"Win",IF($K23&lt;0,"Loss","BE")))</f>
        <v/>
      </c>
      <c r="O23" s="10" t="str">
        <f aca="false">IF($K23="","",SUMIF($K$2:$K23,"&lt;&gt;"))</f>
        <v/>
      </c>
      <c r="P23" s="13"/>
    </row>
    <row r="24" customFormat="false" ht="15" hidden="false" customHeight="true" outlineLevel="0" collapsed="false">
      <c r="A24" s="7" t="n">
        <v>23</v>
      </c>
      <c r="B24" s="8"/>
      <c r="C24" s="8"/>
      <c r="D24" s="8"/>
      <c r="E24" s="8"/>
      <c r="F24" s="8"/>
      <c r="G24" s="9"/>
      <c r="H24" s="9"/>
      <c r="I24" s="9"/>
      <c r="J24" s="9"/>
      <c r="K24" s="10" t="str">
        <f aca="false">IF($G24="","",(IF($D24="Short",$G24-$H24,$H24-$G24)*$F24)-IF($J24="",0,$J24))</f>
        <v/>
      </c>
      <c r="L24" s="11" t="str">
        <f aca="false">IF(OR($G24="",$H24=""),"",$K24/($G24*$F24))</f>
        <v/>
      </c>
      <c r="M24" s="12" t="str">
        <f aca="false">IF(OR($G24="",$I24="",$G24=$I24),"",$K24/(ABS($G24-$I24)*$F24))</f>
        <v/>
      </c>
      <c r="N24" s="7" t="str">
        <f aca="false">IF($K24="","",IF($K24&gt;0,"Win",IF($K24&lt;0,"Loss","BE")))</f>
        <v/>
      </c>
      <c r="O24" s="10" t="str">
        <f aca="false">IF($K24="","",SUMIF($K$2:$K24,"&lt;&gt;"))</f>
        <v/>
      </c>
      <c r="P24" s="13"/>
    </row>
    <row r="25" customFormat="false" ht="15" hidden="false" customHeight="true" outlineLevel="0" collapsed="false">
      <c r="A25" s="7" t="n">
        <v>24</v>
      </c>
      <c r="B25" s="8"/>
      <c r="C25" s="8"/>
      <c r="D25" s="8"/>
      <c r="E25" s="8"/>
      <c r="F25" s="8"/>
      <c r="G25" s="9"/>
      <c r="H25" s="9"/>
      <c r="I25" s="9"/>
      <c r="J25" s="9"/>
      <c r="K25" s="10" t="str">
        <f aca="false">IF($G25="","",(IF($D25="Short",$G25-$H25,$H25-$G25)*$F25)-IF($J25="",0,$J25))</f>
        <v/>
      </c>
      <c r="L25" s="11" t="str">
        <f aca="false">IF(OR($G25="",$H25=""),"",$K25/($G25*$F25))</f>
        <v/>
      </c>
      <c r="M25" s="12" t="str">
        <f aca="false">IF(OR($G25="",$I25="",$G25=$I25),"",$K25/(ABS($G25-$I25)*$F25))</f>
        <v/>
      </c>
      <c r="N25" s="7" t="str">
        <f aca="false">IF($K25="","",IF($K25&gt;0,"Win",IF($K25&lt;0,"Loss","BE")))</f>
        <v/>
      </c>
      <c r="O25" s="10" t="str">
        <f aca="false">IF($K25="","",SUMIF($K$2:$K25,"&lt;&gt;"))</f>
        <v/>
      </c>
      <c r="P25" s="13"/>
    </row>
    <row r="26" customFormat="false" ht="15" hidden="false" customHeight="true" outlineLevel="0" collapsed="false">
      <c r="A26" s="7" t="n">
        <v>25</v>
      </c>
      <c r="B26" s="8"/>
      <c r="C26" s="8"/>
      <c r="D26" s="8"/>
      <c r="E26" s="8"/>
      <c r="F26" s="8"/>
      <c r="G26" s="9"/>
      <c r="H26" s="9"/>
      <c r="I26" s="9"/>
      <c r="J26" s="9"/>
      <c r="K26" s="10" t="str">
        <f aca="false">IF($G26="","",(IF($D26="Short",$G26-$H26,$H26-$G26)*$F26)-IF($J26="",0,$J26))</f>
        <v/>
      </c>
      <c r="L26" s="11" t="str">
        <f aca="false">IF(OR($G26="",$H26=""),"",$K26/($G26*$F26))</f>
        <v/>
      </c>
      <c r="M26" s="12" t="str">
        <f aca="false">IF(OR($G26="",$I26="",$G26=$I26),"",$K26/(ABS($G26-$I26)*$F26))</f>
        <v/>
      </c>
      <c r="N26" s="7" t="str">
        <f aca="false">IF($K26="","",IF($K26&gt;0,"Win",IF($K26&lt;0,"Loss","BE")))</f>
        <v/>
      </c>
      <c r="O26" s="10" t="str">
        <f aca="false">IF($K26="","",SUMIF($K$2:$K26,"&lt;&gt;"))</f>
        <v/>
      </c>
      <c r="P26" s="13"/>
    </row>
    <row r="27" customFormat="false" ht="15" hidden="false" customHeight="true" outlineLevel="0" collapsed="false">
      <c r="A27" s="7" t="n">
        <v>26</v>
      </c>
      <c r="B27" s="8"/>
      <c r="C27" s="8"/>
      <c r="D27" s="8"/>
      <c r="E27" s="8"/>
      <c r="F27" s="8"/>
      <c r="G27" s="9"/>
      <c r="H27" s="9"/>
      <c r="I27" s="9"/>
      <c r="J27" s="9"/>
      <c r="K27" s="10" t="str">
        <f aca="false">IF($G27="","",(IF($D27="Short",$G27-$H27,$H27-$G27)*$F27)-IF($J27="",0,$J27))</f>
        <v/>
      </c>
      <c r="L27" s="11" t="str">
        <f aca="false">IF(OR($G27="",$H27=""),"",$K27/($G27*$F27))</f>
        <v/>
      </c>
      <c r="M27" s="12" t="str">
        <f aca="false">IF(OR($G27="",$I27="",$G27=$I27),"",$K27/(ABS($G27-$I27)*$F27))</f>
        <v/>
      </c>
      <c r="N27" s="7" t="str">
        <f aca="false">IF($K27="","",IF($K27&gt;0,"Win",IF($K27&lt;0,"Loss","BE")))</f>
        <v/>
      </c>
      <c r="O27" s="10" t="str">
        <f aca="false">IF($K27="","",SUMIF($K$2:$K27,"&lt;&gt;"))</f>
        <v/>
      </c>
      <c r="P27" s="13"/>
    </row>
    <row r="28" customFormat="false" ht="15" hidden="false" customHeight="true" outlineLevel="0" collapsed="false">
      <c r="A28" s="7" t="n">
        <v>27</v>
      </c>
      <c r="B28" s="8"/>
      <c r="C28" s="8"/>
      <c r="D28" s="8"/>
      <c r="E28" s="8"/>
      <c r="F28" s="8"/>
      <c r="G28" s="9"/>
      <c r="H28" s="9"/>
      <c r="I28" s="9"/>
      <c r="J28" s="9"/>
      <c r="K28" s="10" t="str">
        <f aca="false">IF($G28="","",(IF($D28="Short",$G28-$H28,$H28-$G28)*$F28)-IF($J28="",0,$J28))</f>
        <v/>
      </c>
      <c r="L28" s="11" t="str">
        <f aca="false">IF(OR($G28="",$H28=""),"",$K28/($G28*$F28))</f>
        <v/>
      </c>
      <c r="M28" s="12" t="str">
        <f aca="false">IF(OR($G28="",$I28="",$G28=$I28),"",$K28/(ABS($G28-$I28)*$F28))</f>
        <v/>
      </c>
      <c r="N28" s="7" t="str">
        <f aca="false">IF($K28="","",IF($K28&gt;0,"Win",IF($K28&lt;0,"Loss","BE")))</f>
        <v/>
      </c>
      <c r="O28" s="10" t="str">
        <f aca="false">IF($K28="","",SUMIF($K$2:$K28,"&lt;&gt;"))</f>
        <v/>
      </c>
      <c r="P28" s="13"/>
    </row>
    <row r="29" customFormat="false" ht="15" hidden="false" customHeight="true" outlineLevel="0" collapsed="false">
      <c r="A29" s="7" t="n">
        <v>28</v>
      </c>
      <c r="B29" s="8"/>
      <c r="C29" s="8"/>
      <c r="D29" s="8"/>
      <c r="E29" s="8"/>
      <c r="F29" s="8"/>
      <c r="G29" s="9"/>
      <c r="H29" s="9"/>
      <c r="I29" s="9"/>
      <c r="J29" s="9"/>
      <c r="K29" s="10" t="str">
        <f aca="false">IF($G29="","",(IF($D29="Short",$G29-$H29,$H29-$G29)*$F29)-IF($J29="",0,$J29))</f>
        <v/>
      </c>
      <c r="L29" s="11" t="str">
        <f aca="false">IF(OR($G29="",$H29=""),"",$K29/($G29*$F29))</f>
        <v/>
      </c>
      <c r="M29" s="12" t="str">
        <f aca="false">IF(OR($G29="",$I29="",$G29=$I29),"",$K29/(ABS($G29-$I29)*$F29))</f>
        <v/>
      </c>
      <c r="N29" s="7" t="str">
        <f aca="false">IF($K29="","",IF($K29&gt;0,"Win",IF($K29&lt;0,"Loss","BE")))</f>
        <v/>
      </c>
      <c r="O29" s="10" t="str">
        <f aca="false">IF($K29="","",SUMIF($K$2:$K29,"&lt;&gt;"))</f>
        <v/>
      </c>
      <c r="P29" s="13"/>
    </row>
    <row r="30" customFormat="false" ht="15" hidden="false" customHeight="true" outlineLevel="0" collapsed="false">
      <c r="A30" s="7" t="n">
        <v>29</v>
      </c>
      <c r="B30" s="8"/>
      <c r="C30" s="8"/>
      <c r="D30" s="8"/>
      <c r="E30" s="8"/>
      <c r="F30" s="8"/>
      <c r="G30" s="9"/>
      <c r="H30" s="9"/>
      <c r="I30" s="9"/>
      <c r="J30" s="9"/>
      <c r="K30" s="10" t="str">
        <f aca="false">IF($G30="","",(IF($D30="Short",$G30-$H30,$H30-$G30)*$F30)-IF($J30="",0,$J30))</f>
        <v/>
      </c>
      <c r="L30" s="11" t="str">
        <f aca="false">IF(OR($G30="",$H30=""),"",$K30/($G30*$F30))</f>
        <v/>
      </c>
      <c r="M30" s="12" t="str">
        <f aca="false">IF(OR($G30="",$I30="",$G30=$I30),"",$K30/(ABS($G30-$I30)*$F30))</f>
        <v/>
      </c>
      <c r="N30" s="7" t="str">
        <f aca="false">IF($K30="","",IF($K30&gt;0,"Win",IF($K30&lt;0,"Loss","BE")))</f>
        <v/>
      </c>
      <c r="O30" s="10" t="str">
        <f aca="false">IF($K30="","",SUMIF($K$2:$K30,"&lt;&gt;"))</f>
        <v/>
      </c>
      <c r="P30" s="13"/>
    </row>
    <row r="31" customFormat="false" ht="15" hidden="false" customHeight="true" outlineLevel="0" collapsed="false">
      <c r="A31" s="7" t="n">
        <v>30</v>
      </c>
      <c r="B31" s="8"/>
      <c r="C31" s="8"/>
      <c r="D31" s="8"/>
      <c r="E31" s="8"/>
      <c r="F31" s="8"/>
      <c r="G31" s="9"/>
      <c r="H31" s="9"/>
      <c r="I31" s="9"/>
      <c r="J31" s="9"/>
      <c r="K31" s="10" t="str">
        <f aca="false">IF($G31="","",(IF($D31="Short",$G31-$H31,$H31-$G31)*$F31)-IF($J31="",0,$J31))</f>
        <v/>
      </c>
      <c r="L31" s="11" t="str">
        <f aca="false">IF(OR($G31="",$H31=""),"",$K31/($G31*$F31))</f>
        <v/>
      </c>
      <c r="M31" s="12" t="str">
        <f aca="false">IF(OR($G31="",$I31="",$G31=$I31),"",$K31/(ABS($G31-$I31)*$F31))</f>
        <v/>
      </c>
      <c r="N31" s="7" t="str">
        <f aca="false">IF($K31="","",IF($K31&gt;0,"Win",IF($K31&lt;0,"Loss","BE")))</f>
        <v/>
      </c>
      <c r="O31" s="10" t="str">
        <f aca="false">IF($K31="","",SUMIF($K$2:$K31,"&lt;&gt;"))</f>
        <v/>
      </c>
      <c r="P31" s="13"/>
    </row>
    <row r="32" customFormat="false" ht="15" hidden="false" customHeight="true" outlineLevel="0" collapsed="false">
      <c r="A32" s="7" t="n">
        <v>31</v>
      </c>
      <c r="B32" s="8"/>
      <c r="C32" s="8"/>
      <c r="D32" s="8"/>
      <c r="E32" s="8"/>
      <c r="F32" s="8"/>
      <c r="G32" s="9"/>
      <c r="H32" s="9"/>
      <c r="I32" s="9"/>
      <c r="J32" s="9"/>
      <c r="K32" s="10" t="str">
        <f aca="false">IF($G32="","",(IF($D32="Short",$G32-$H32,$H32-$G32)*$F32)-IF($J32="",0,$J32))</f>
        <v/>
      </c>
      <c r="L32" s="11" t="str">
        <f aca="false">IF(OR($G32="",$H32=""),"",$K32/($G32*$F32))</f>
        <v/>
      </c>
      <c r="M32" s="12" t="str">
        <f aca="false">IF(OR($G32="",$I32="",$G32=$I32),"",$K32/(ABS($G32-$I32)*$F32))</f>
        <v/>
      </c>
      <c r="N32" s="7" t="str">
        <f aca="false">IF($K32="","",IF($K32&gt;0,"Win",IF($K32&lt;0,"Loss","BE")))</f>
        <v/>
      </c>
      <c r="O32" s="10" t="str">
        <f aca="false">IF($K32="","",SUMIF($K$2:$K32,"&lt;&gt;"))</f>
        <v/>
      </c>
      <c r="P32" s="13"/>
    </row>
    <row r="33" customFormat="false" ht="15" hidden="false" customHeight="true" outlineLevel="0" collapsed="false">
      <c r="A33" s="7" t="n">
        <v>32</v>
      </c>
      <c r="B33" s="8"/>
      <c r="C33" s="8"/>
      <c r="D33" s="8"/>
      <c r="E33" s="8"/>
      <c r="F33" s="8"/>
      <c r="G33" s="9"/>
      <c r="H33" s="9"/>
      <c r="I33" s="9"/>
      <c r="J33" s="9"/>
      <c r="K33" s="10" t="str">
        <f aca="false">IF($G33="","",(IF($D33="Short",$G33-$H33,$H33-$G33)*$F33)-IF($J33="",0,$J33))</f>
        <v/>
      </c>
      <c r="L33" s="11" t="str">
        <f aca="false">IF(OR($G33="",$H33=""),"",$K33/($G33*$F33))</f>
        <v/>
      </c>
      <c r="M33" s="12" t="str">
        <f aca="false">IF(OR($G33="",$I33="",$G33=$I33),"",$K33/(ABS($G33-$I33)*$F33))</f>
        <v/>
      </c>
      <c r="N33" s="7" t="str">
        <f aca="false">IF($K33="","",IF($K33&gt;0,"Win",IF($K33&lt;0,"Loss","BE")))</f>
        <v/>
      </c>
      <c r="O33" s="10" t="str">
        <f aca="false">IF($K33="","",SUMIF($K$2:$K33,"&lt;&gt;"))</f>
        <v/>
      </c>
      <c r="P33" s="13"/>
    </row>
    <row r="34" customFormat="false" ht="15" hidden="false" customHeight="true" outlineLevel="0" collapsed="false">
      <c r="A34" s="7" t="n">
        <v>33</v>
      </c>
      <c r="B34" s="8"/>
      <c r="C34" s="8"/>
      <c r="D34" s="8"/>
      <c r="E34" s="8"/>
      <c r="F34" s="8"/>
      <c r="G34" s="9"/>
      <c r="H34" s="9"/>
      <c r="I34" s="9"/>
      <c r="J34" s="9"/>
      <c r="K34" s="10" t="str">
        <f aca="false">IF($G34="","",(IF($D34="Short",$G34-$H34,$H34-$G34)*$F34)-IF($J34="",0,$J34))</f>
        <v/>
      </c>
      <c r="L34" s="11" t="str">
        <f aca="false">IF(OR($G34="",$H34=""),"",$K34/($G34*$F34))</f>
        <v/>
      </c>
      <c r="M34" s="12" t="str">
        <f aca="false">IF(OR($G34="",$I34="",$G34=$I34),"",$K34/(ABS($G34-$I34)*$F34))</f>
        <v/>
      </c>
      <c r="N34" s="7" t="str">
        <f aca="false">IF($K34="","",IF($K34&gt;0,"Win",IF($K34&lt;0,"Loss","BE")))</f>
        <v/>
      </c>
      <c r="O34" s="10" t="str">
        <f aca="false">IF($K34="","",SUMIF($K$2:$K34,"&lt;&gt;"))</f>
        <v/>
      </c>
      <c r="P34" s="13"/>
    </row>
    <row r="35" customFormat="false" ht="15" hidden="false" customHeight="true" outlineLevel="0" collapsed="false">
      <c r="A35" s="7" t="n">
        <v>34</v>
      </c>
      <c r="B35" s="8"/>
      <c r="C35" s="8"/>
      <c r="D35" s="8"/>
      <c r="E35" s="8"/>
      <c r="F35" s="8"/>
      <c r="G35" s="9"/>
      <c r="H35" s="9"/>
      <c r="I35" s="9"/>
      <c r="J35" s="9"/>
      <c r="K35" s="10" t="str">
        <f aca="false">IF($G35="","",(IF($D35="Short",$G35-$H35,$H35-$G35)*$F35)-IF($J35="",0,$J35))</f>
        <v/>
      </c>
      <c r="L35" s="11" t="str">
        <f aca="false">IF(OR($G35="",$H35=""),"",$K35/($G35*$F35))</f>
        <v/>
      </c>
      <c r="M35" s="12" t="str">
        <f aca="false">IF(OR($G35="",$I35="",$G35=$I35),"",$K35/(ABS($G35-$I35)*$F35))</f>
        <v/>
      </c>
      <c r="N35" s="7" t="str">
        <f aca="false">IF($K35="","",IF($K35&gt;0,"Win",IF($K35&lt;0,"Loss","BE")))</f>
        <v/>
      </c>
      <c r="O35" s="10" t="str">
        <f aca="false">IF($K35="","",SUMIF($K$2:$K35,"&lt;&gt;"))</f>
        <v/>
      </c>
      <c r="P35" s="13"/>
    </row>
    <row r="36" customFormat="false" ht="15" hidden="false" customHeight="true" outlineLevel="0" collapsed="false">
      <c r="A36" s="7" t="n">
        <v>35</v>
      </c>
      <c r="B36" s="8"/>
      <c r="C36" s="8"/>
      <c r="D36" s="8"/>
      <c r="E36" s="8"/>
      <c r="F36" s="8"/>
      <c r="G36" s="9"/>
      <c r="H36" s="9"/>
      <c r="I36" s="9"/>
      <c r="J36" s="9"/>
      <c r="K36" s="10" t="str">
        <f aca="false">IF($G36="","",(IF($D36="Short",$G36-$H36,$H36-$G36)*$F36)-IF($J36="",0,$J36))</f>
        <v/>
      </c>
      <c r="L36" s="11" t="str">
        <f aca="false">IF(OR($G36="",$H36=""),"",$K36/($G36*$F36))</f>
        <v/>
      </c>
      <c r="M36" s="12" t="str">
        <f aca="false">IF(OR($G36="",$I36="",$G36=$I36),"",$K36/(ABS($G36-$I36)*$F36))</f>
        <v/>
      </c>
      <c r="N36" s="7" t="str">
        <f aca="false">IF($K36="","",IF($K36&gt;0,"Win",IF($K36&lt;0,"Loss","BE")))</f>
        <v/>
      </c>
      <c r="O36" s="10" t="str">
        <f aca="false">IF($K36="","",SUMIF($K$2:$K36,"&lt;&gt;"))</f>
        <v/>
      </c>
      <c r="P36" s="13"/>
    </row>
    <row r="37" customFormat="false" ht="15" hidden="false" customHeight="true" outlineLevel="0" collapsed="false">
      <c r="A37" s="7" t="n">
        <v>36</v>
      </c>
      <c r="B37" s="8"/>
      <c r="C37" s="8"/>
      <c r="D37" s="8"/>
      <c r="E37" s="8"/>
      <c r="F37" s="8"/>
      <c r="G37" s="9"/>
      <c r="H37" s="9"/>
      <c r="I37" s="9"/>
      <c r="J37" s="9"/>
      <c r="K37" s="10" t="str">
        <f aca="false">IF($G37="","",(IF($D37="Short",$G37-$H37,$H37-$G37)*$F37)-IF($J37="",0,$J37))</f>
        <v/>
      </c>
      <c r="L37" s="11" t="str">
        <f aca="false">IF(OR($G37="",$H37=""),"",$K37/($G37*$F37))</f>
        <v/>
      </c>
      <c r="M37" s="12" t="str">
        <f aca="false">IF(OR($G37="",$I37="",$G37=$I37),"",$K37/(ABS($G37-$I37)*$F37))</f>
        <v/>
      </c>
      <c r="N37" s="7" t="str">
        <f aca="false">IF($K37="","",IF($K37&gt;0,"Win",IF($K37&lt;0,"Loss","BE")))</f>
        <v/>
      </c>
      <c r="O37" s="10" t="str">
        <f aca="false">IF($K37="","",SUMIF($K$2:$K37,"&lt;&gt;"))</f>
        <v/>
      </c>
      <c r="P37" s="13"/>
    </row>
    <row r="38" customFormat="false" ht="15" hidden="false" customHeight="true" outlineLevel="0" collapsed="false">
      <c r="A38" s="7" t="n">
        <v>37</v>
      </c>
      <c r="B38" s="8"/>
      <c r="C38" s="8"/>
      <c r="D38" s="8"/>
      <c r="E38" s="8"/>
      <c r="F38" s="8"/>
      <c r="G38" s="9"/>
      <c r="H38" s="9"/>
      <c r="I38" s="9"/>
      <c r="J38" s="9"/>
      <c r="K38" s="10" t="str">
        <f aca="false">IF($G38="","",(IF($D38="Short",$G38-$H38,$H38-$G38)*$F38)-IF($J38="",0,$J38))</f>
        <v/>
      </c>
      <c r="L38" s="11" t="str">
        <f aca="false">IF(OR($G38="",$H38=""),"",$K38/($G38*$F38))</f>
        <v/>
      </c>
      <c r="M38" s="12" t="str">
        <f aca="false">IF(OR($G38="",$I38="",$G38=$I38),"",$K38/(ABS($G38-$I38)*$F38))</f>
        <v/>
      </c>
      <c r="N38" s="7" t="str">
        <f aca="false">IF($K38="","",IF($K38&gt;0,"Win",IF($K38&lt;0,"Loss","BE")))</f>
        <v/>
      </c>
      <c r="O38" s="10" t="str">
        <f aca="false">IF($K38="","",SUMIF($K$2:$K38,"&lt;&gt;"))</f>
        <v/>
      </c>
      <c r="P38" s="13"/>
    </row>
    <row r="39" customFormat="false" ht="15" hidden="false" customHeight="true" outlineLevel="0" collapsed="false">
      <c r="A39" s="7" t="n">
        <v>38</v>
      </c>
      <c r="B39" s="8"/>
      <c r="C39" s="8"/>
      <c r="D39" s="8"/>
      <c r="E39" s="8"/>
      <c r="F39" s="8"/>
      <c r="G39" s="9"/>
      <c r="H39" s="9"/>
      <c r="I39" s="9"/>
      <c r="J39" s="9"/>
      <c r="K39" s="10" t="str">
        <f aca="false">IF($G39="","",(IF($D39="Short",$G39-$H39,$H39-$G39)*$F39)-IF($J39="",0,$J39))</f>
        <v/>
      </c>
      <c r="L39" s="11" t="str">
        <f aca="false">IF(OR($G39="",$H39=""),"",$K39/($G39*$F39))</f>
        <v/>
      </c>
      <c r="M39" s="12" t="str">
        <f aca="false">IF(OR($G39="",$I39="",$G39=$I39),"",$K39/(ABS($G39-$I39)*$F39))</f>
        <v/>
      </c>
      <c r="N39" s="7" t="str">
        <f aca="false">IF($K39="","",IF($K39&gt;0,"Win",IF($K39&lt;0,"Loss","BE")))</f>
        <v/>
      </c>
      <c r="O39" s="10" t="str">
        <f aca="false">IF($K39="","",SUMIF($K$2:$K39,"&lt;&gt;"))</f>
        <v/>
      </c>
      <c r="P39" s="13"/>
    </row>
    <row r="40" customFormat="false" ht="15" hidden="false" customHeight="true" outlineLevel="0" collapsed="false">
      <c r="A40" s="7" t="n">
        <v>39</v>
      </c>
      <c r="B40" s="8"/>
      <c r="C40" s="8"/>
      <c r="D40" s="8"/>
      <c r="E40" s="8"/>
      <c r="F40" s="8"/>
      <c r="G40" s="9"/>
      <c r="H40" s="9"/>
      <c r="I40" s="9"/>
      <c r="J40" s="9"/>
      <c r="K40" s="10" t="str">
        <f aca="false">IF($G40="","",(IF($D40="Short",$G40-$H40,$H40-$G40)*$F40)-IF($J40="",0,$J40))</f>
        <v/>
      </c>
      <c r="L40" s="11" t="str">
        <f aca="false">IF(OR($G40="",$H40=""),"",$K40/($G40*$F40))</f>
        <v/>
      </c>
      <c r="M40" s="12" t="str">
        <f aca="false">IF(OR($G40="",$I40="",$G40=$I40),"",$K40/(ABS($G40-$I40)*$F40))</f>
        <v/>
      </c>
      <c r="N40" s="7" t="str">
        <f aca="false">IF($K40="","",IF($K40&gt;0,"Win",IF($K40&lt;0,"Loss","BE")))</f>
        <v/>
      </c>
      <c r="O40" s="10" t="str">
        <f aca="false">IF($K40="","",SUMIF($K$2:$K40,"&lt;&gt;"))</f>
        <v/>
      </c>
      <c r="P40" s="13"/>
    </row>
    <row r="41" customFormat="false" ht="15" hidden="false" customHeight="true" outlineLevel="0" collapsed="false">
      <c r="A41" s="7" t="n">
        <v>40</v>
      </c>
      <c r="B41" s="8"/>
      <c r="C41" s="8"/>
      <c r="D41" s="8"/>
      <c r="E41" s="8"/>
      <c r="F41" s="8"/>
      <c r="G41" s="9"/>
      <c r="H41" s="9"/>
      <c r="I41" s="9"/>
      <c r="J41" s="9"/>
      <c r="K41" s="10" t="str">
        <f aca="false">IF($G41="","",(IF($D41="Short",$G41-$H41,$H41-$G41)*$F41)-IF($J41="",0,$J41))</f>
        <v/>
      </c>
      <c r="L41" s="11" t="str">
        <f aca="false">IF(OR($G41="",$H41=""),"",$K41/($G41*$F41))</f>
        <v/>
      </c>
      <c r="M41" s="12" t="str">
        <f aca="false">IF(OR($G41="",$I41="",$G41=$I41),"",$K41/(ABS($G41-$I41)*$F41))</f>
        <v/>
      </c>
      <c r="N41" s="7" t="str">
        <f aca="false">IF($K41="","",IF($K41&gt;0,"Win",IF($K41&lt;0,"Loss","BE")))</f>
        <v/>
      </c>
      <c r="O41" s="10" t="str">
        <f aca="false">IF($K41="","",SUMIF($K$2:$K41,"&lt;&gt;"))</f>
        <v/>
      </c>
      <c r="P41" s="13"/>
    </row>
    <row r="42" customFormat="false" ht="15" hidden="false" customHeight="true" outlineLevel="0" collapsed="false">
      <c r="A42" s="7" t="n">
        <v>41</v>
      </c>
      <c r="B42" s="8"/>
      <c r="C42" s="8"/>
      <c r="D42" s="8"/>
      <c r="E42" s="8"/>
      <c r="F42" s="8"/>
      <c r="G42" s="9"/>
      <c r="H42" s="9"/>
      <c r="I42" s="9"/>
      <c r="J42" s="9"/>
      <c r="K42" s="10" t="str">
        <f aca="false">IF($G42="","",(IF($D42="Short",$G42-$H42,$H42-$G42)*$F42)-IF($J42="",0,$J42))</f>
        <v/>
      </c>
      <c r="L42" s="11" t="str">
        <f aca="false">IF(OR($G42="",$H42=""),"",$K42/($G42*$F42))</f>
        <v/>
      </c>
      <c r="M42" s="12" t="str">
        <f aca="false">IF(OR($G42="",$I42="",$G42=$I42),"",$K42/(ABS($G42-$I42)*$F42))</f>
        <v/>
      </c>
      <c r="N42" s="7" t="str">
        <f aca="false">IF($K42="","",IF($K42&gt;0,"Win",IF($K42&lt;0,"Loss","BE")))</f>
        <v/>
      </c>
      <c r="O42" s="10" t="str">
        <f aca="false">IF($K42="","",SUMIF($K$2:$K42,"&lt;&gt;"))</f>
        <v/>
      </c>
      <c r="P42" s="13"/>
    </row>
    <row r="43" customFormat="false" ht="15" hidden="false" customHeight="true" outlineLevel="0" collapsed="false">
      <c r="A43" s="7" t="n">
        <v>42</v>
      </c>
      <c r="B43" s="8"/>
      <c r="C43" s="8"/>
      <c r="D43" s="8"/>
      <c r="E43" s="8"/>
      <c r="F43" s="8"/>
      <c r="G43" s="9"/>
      <c r="H43" s="9"/>
      <c r="I43" s="9"/>
      <c r="J43" s="9"/>
      <c r="K43" s="10" t="str">
        <f aca="false">IF($G43="","",(IF($D43="Short",$G43-$H43,$H43-$G43)*$F43)-IF($J43="",0,$J43))</f>
        <v/>
      </c>
      <c r="L43" s="11" t="str">
        <f aca="false">IF(OR($G43="",$H43=""),"",$K43/($G43*$F43))</f>
        <v/>
      </c>
      <c r="M43" s="12" t="str">
        <f aca="false">IF(OR($G43="",$I43="",$G43=$I43),"",$K43/(ABS($G43-$I43)*$F43))</f>
        <v/>
      </c>
      <c r="N43" s="7" t="str">
        <f aca="false">IF($K43="","",IF($K43&gt;0,"Win",IF($K43&lt;0,"Loss","BE")))</f>
        <v/>
      </c>
      <c r="O43" s="10" t="str">
        <f aca="false">IF($K43="","",SUMIF($K$2:$K43,"&lt;&gt;"))</f>
        <v/>
      </c>
      <c r="P43" s="13"/>
    </row>
    <row r="44" customFormat="false" ht="15" hidden="false" customHeight="true" outlineLevel="0" collapsed="false">
      <c r="A44" s="7" t="n">
        <v>43</v>
      </c>
      <c r="B44" s="8"/>
      <c r="C44" s="8"/>
      <c r="D44" s="8"/>
      <c r="E44" s="8"/>
      <c r="F44" s="8"/>
      <c r="G44" s="9"/>
      <c r="H44" s="9"/>
      <c r="I44" s="9"/>
      <c r="J44" s="9"/>
      <c r="K44" s="10" t="str">
        <f aca="false">IF($G44="","",(IF($D44="Short",$G44-$H44,$H44-$G44)*$F44)-IF($J44="",0,$J44))</f>
        <v/>
      </c>
      <c r="L44" s="11" t="str">
        <f aca="false">IF(OR($G44="",$H44=""),"",$K44/($G44*$F44))</f>
        <v/>
      </c>
      <c r="M44" s="12" t="str">
        <f aca="false">IF(OR($G44="",$I44="",$G44=$I44),"",$K44/(ABS($G44-$I44)*$F44))</f>
        <v/>
      </c>
      <c r="N44" s="7" t="str">
        <f aca="false">IF($K44="","",IF($K44&gt;0,"Win",IF($K44&lt;0,"Loss","BE")))</f>
        <v/>
      </c>
      <c r="O44" s="10" t="str">
        <f aca="false">IF($K44="","",SUMIF($K$2:$K44,"&lt;&gt;"))</f>
        <v/>
      </c>
      <c r="P44" s="13"/>
    </row>
    <row r="45" customFormat="false" ht="15" hidden="false" customHeight="true" outlineLevel="0" collapsed="false">
      <c r="A45" s="7" t="n">
        <v>44</v>
      </c>
      <c r="B45" s="8"/>
      <c r="C45" s="8"/>
      <c r="D45" s="8"/>
      <c r="E45" s="8"/>
      <c r="F45" s="8"/>
      <c r="G45" s="9"/>
      <c r="H45" s="9"/>
      <c r="I45" s="9"/>
      <c r="J45" s="9"/>
      <c r="K45" s="10" t="str">
        <f aca="false">IF($G45="","",(IF($D45="Short",$G45-$H45,$H45-$G45)*$F45)-IF($J45="",0,$J45))</f>
        <v/>
      </c>
      <c r="L45" s="11" t="str">
        <f aca="false">IF(OR($G45="",$H45=""),"",$K45/($G45*$F45))</f>
        <v/>
      </c>
      <c r="M45" s="12" t="str">
        <f aca="false">IF(OR($G45="",$I45="",$G45=$I45),"",$K45/(ABS($G45-$I45)*$F45))</f>
        <v/>
      </c>
      <c r="N45" s="7" t="str">
        <f aca="false">IF($K45="","",IF($K45&gt;0,"Win",IF($K45&lt;0,"Loss","BE")))</f>
        <v/>
      </c>
      <c r="O45" s="10" t="str">
        <f aca="false">IF($K45="","",SUMIF($K$2:$K45,"&lt;&gt;"))</f>
        <v/>
      </c>
      <c r="P45" s="13"/>
    </row>
    <row r="46" customFormat="false" ht="15" hidden="false" customHeight="true" outlineLevel="0" collapsed="false">
      <c r="A46" s="7" t="n">
        <v>45</v>
      </c>
      <c r="B46" s="8"/>
      <c r="C46" s="8"/>
      <c r="D46" s="8"/>
      <c r="E46" s="8"/>
      <c r="F46" s="8"/>
      <c r="G46" s="9"/>
      <c r="H46" s="9"/>
      <c r="I46" s="9"/>
      <c r="J46" s="9"/>
      <c r="K46" s="10" t="str">
        <f aca="false">IF($G46="","",(IF($D46="Short",$G46-$H46,$H46-$G46)*$F46)-IF($J46="",0,$J46))</f>
        <v/>
      </c>
      <c r="L46" s="11" t="str">
        <f aca="false">IF(OR($G46="",$H46=""),"",$K46/($G46*$F46))</f>
        <v/>
      </c>
      <c r="M46" s="12" t="str">
        <f aca="false">IF(OR($G46="",$I46="",$G46=$I46),"",$K46/(ABS($G46-$I46)*$F46))</f>
        <v/>
      </c>
      <c r="N46" s="7" t="str">
        <f aca="false">IF($K46="","",IF($K46&gt;0,"Win",IF($K46&lt;0,"Loss","BE")))</f>
        <v/>
      </c>
      <c r="O46" s="10" t="str">
        <f aca="false">IF($K46="","",SUMIF($K$2:$K46,"&lt;&gt;"))</f>
        <v/>
      </c>
      <c r="P46" s="13"/>
    </row>
    <row r="47" customFormat="false" ht="15" hidden="false" customHeight="true" outlineLevel="0" collapsed="false">
      <c r="A47" s="7" t="n">
        <v>46</v>
      </c>
      <c r="B47" s="8"/>
      <c r="C47" s="8"/>
      <c r="D47" s="8"/>
      <c r="E47" s="8"/>
      <c r="F47" s="8"/>
      <c r="G47" s="9"/>
      <c r="H47" s="9"/>
      <c r="I47" s="9"/>
      <c r="J47" s="9"/>
      <c r="K47" s="10" t="str">
        <f aca="false">IF($G47="","",(IF($D47="Short",$G47-$H47,$H47-$G47)*$F47)-IF($J47="",0,$J47))</f>
        <v/>
      </c>
      <c r="L47" s="11" t="str">
        <f aca="false">IF(OR($G47="",$H47=""),"",$K47/($G47*$F47))</f>
        <v/>
      </c>
      <c r="M47" s="12" t="str">
        <f aca="false">IF(OR($G47="",$I47="",$G47=$I47),"",$K47/(ABS($G47-$I47)*$F47))</f>
        <v/>
      </c>
      <c r="N47" s="7" t="str">
        <f aca="false">IF($K47="","",IF($K47&gt;0,"Win",IF($K47&lt;0,"Loss","BE")))</f>
        <v/>
      </c>
      <c r="O47" s="10" t="str">
        <f aca="false">IF($K47="","",SUMIF($K$2:$K47,"&lt;&gt;"))</f>
        <v/>
      </c>
      <c r="P47" s="13"/>
    </row>
    <row r="48" customFormat="false" ht="15" hidden="false" customHeight="true" outlineLevel="0" collapsed="false">
      <c r="A48" s="7" t="n">
        <v>47</v>
      </c>
      <c r="B48" s="8"/>
      <c r="C48" s="8"/>
      <c r="D48" s="8"/>
      <c r="E48" s="8"/>
      <c r="F48" s="8"/>
      <c r="G48" s="9"/>
      <c r="H48" s="9"/>
      <c r="I48" s="9"/>
      <c r="J48" s="9"/>
      <c r="K48" s="10" t="str">
        <f aca="false">IF($G48="","",(IF($D48="Short",$G48-$H48,$H48-$G48)*$F48)-IF($J48="",0,$J48))</f>
        <v/>
      </c>
      <c r="L48" s="11" t="str">
        <f aca="false">IF(OR($G48="",$H48=""),"",$K48/($G48*$F48))</f>
        <v/>
      </c>
      <c r="M48" s="12" t="str">
        <f aca="false">IF(OR($G48="",$I48="",$G48=$I48),"",$K48/(ABS($G48-$I48)*$F48))</f>
        <v/>
      </c>
      <c r="N48" s="7" t="str">
        <f aca="false">IF($K48="","",IF($K48&gt;0,"Win",IF($K48&lt;0,"Loss","BE")))</f>
        <v/>
      </c>
      <c r="O48" s="10" t="str">
        <f aca="false">IF($K48="","",SUMIF($K$2:$K48,"&lt;&gt;"))</f>
        <v/>
      </c>
      <c r="P48" s="13"/>
    </row>
    <row r="49" customFormat="false" ht="15" hidden="false" customHeight="true" outlineLevel="0" collapsed="false">
      <c r="A49" s="7" t="n">
        <v>48</v>
      </c>
      <c r="B49" s="8"/>
      <c r="C49" s="8"/>
      <c r="D49" s="8"/>
      <c r="E49" s="8"/>
      <c r="F49" s="8"/>
      <c r="G49" s="9"/>
      <c r="H49" s="9"/>
      <c r="I49" s="9"/>
      <c r="J49" s="9"/>
      <c r="K49" s="10" t="str">
        <f aca="false">IF($G49="","",(IF($D49="Short",$G49-$H49,$H49-$G49)*$F49)-IF($J49="",0,$J49))</f>
        <v/>
      </c>
      <c r="L49" s="11" t="str">
        <f aca="false">IF(OR($G49="",$H49=""),"",$K49/($G49*$F49))</f>
        <v/>
      </c>
      <c r="M49" s="12" t="str">
        <f aca="false">IF(OR($G49="",$I49="",$G49=$I49),"",$K49/(ABS($G49-$I49)*$F49))</f>
        <v/>
      </c>
      <c r="N49" s="7" t="str">
        <f aca="false">IF($K49="","",IF($K49&gt;0,"Win",IF($K49&lt;0,"Loss","BE")))</f>
        <v/>
      </c>
      <c r="O49" s="10" t="str">
        <f aca="false">IF($K49="","",SUMIF($K$2:$K49,"&lt;&gt;"))</f>
        <v/>
      </c>
      <c r="P49" s="13"/>
    </row>
    <row r="50" customFormat="false" ht="15" hidden="false" customHeight="true" outlineLevel="0" collapsed="false">
      <c r="A50" s="7" t="n">
        <v>49</v>
      </c>
      <c r="B50" s="8"/>
      <c r="C50" s="8"/>
      <c r="D50" s="8"/>
      <c r="E50" s="8"/>
      <c r="F50" s="8"/>
      <c r="G50" s="9"/>
      <c r="H50" s="9"/>
      <c r="I50" s="9"/>
      <c r="J50" s="9"/>
      <c r="K50" s="10" t="str">
        <f aca="false">IF($G50="","",(IF($D50="Short",$G50-$H50,$H50-$G50)*$F50)-IF($J50="",0,$J50))</f>
        <v/>
      </c>
      <c r="L50" s="11" t="str">
        <f aca="false">IF(OR($G50="",$H50=""),"",$K50/($G50*$F50))</f>
        <v/>
      </c>
      <c r="M50" s="12" t="str">
        <f aca="false">IF(OR($G50="",$I50="",$G50=$I50),"",$K50/(ABS($G50-$I50)*$F50))</f>
        <v/>
      </c>
      <c r="N50" s="7" t="str">
        <f aca="false">IF($K50="","",IF($K50&gt;0,"Win",IF($K50&lt;0,"Loss","BE")))</f>
        <v/>
      </c>
      <c r="O50" s="10" t="str">
        <f aca="false">IF($K50="","",SUMIF($K$2:$K50,"&lt;&gt;"))</f>
        <v/>
      </c>
      <c r="P50" s="13"/>
    </row>
    <row r="51" customFormat="false" ht="15" hidden="false" customHeight="true" outlineLevel="0" collapsed="false">
      <c r="A51" s="7" t="n">
        <v>50</v>
      </c>
      <c r="B51" s="8"/>
      <c r="C51" s="8"/>
      <c r="D51" s="8"/>
      <c r="E51" s="8"/>
      <c r="F51" s="8"/>
      <c r="G51" s="9"/>
      <c r="H51" s="9"/>
      <c r="I51" s="9"/>
      <c r="J51" s="9"/>
      <c r="K51" s="10" t="str">
        <f aca="false">IF($G51="","",(IF($D51="Short",$G51-$H51,$H51-$G51)*$F51)-IF($J51="",0,$J51))</f>
        <v/>
      </c>
      <c r="L51" s="11" t="str">
        <f aca="false">IF(OR($G51="",$H51=""),"",$K51/($G51*$F51))</f>
        <v/>
      </c>
      <c r="M51" s="12" t="str">
        <f aca="false">IF(OR($G51="",$I51="",$G51=$I51),"",$K51/(ABS($G51-$I51)*$F51))</f>
        <v/>
      </c>
      <c r="N51" s="7" t="str">
        <f aca="false">IF($K51="","",IF($K51&gt;0,"Win",IF($K51&lt;0,"Loss","BE")))</f>
        <v/>
      </c>
      <c r="O51" s="10" t="str">
        <f aca="false">IF($K51="","",SUMIF($K$2:$K51,"&lt;&gt;"))</f>
        <v/>
      </c>
      <c r="P51" s="13"/>
    </row>
    <row r="52" customFormat="false" ht="15" hidden="false" customHeight="true" outlineLevel="0" collapsed="false">
      <c r="A52" s="7" t="n">
        <v>51</v>
      </c>
      <c r="B52" s="8"/>
      <c r="C52" s="8"/>
      <c r="D52" s="8"/>
      <c r="E52" s="8"/>
      <c r="F52" s="8"/>
      <c r="G52" s="9"/>
      <c r="H52" s="9"/>
      <c r="I52" s="9"/>
      <c r="J52" s="9"/>
      <c r="K52" s="10" t="str">
        <f aca="false">IF($G52="","",(IF($D52="Short",$G52-$H52,$H52-$G52)*$F52)-IF($J52="",0,$J52))</f>
        <v/>
      </c>
      <c r="L52" s="11" t="str">
        <f aca="false">IF(OR($G52="",$H52=""),"",$K52/($G52*$F52))</f>
        <v/>
      </c>
      <c r="M52" s="12" t="str">
        <f aca="false">IF(OR($G52="",$I52="",$G52=$I52),"",$K52/(ABS($G52-$I52)*$F52))</f>
        <v/>
      </c>
      <c r="N52" s="7" t="str">
        <f aca="false">IF($K52="","",IF($K52&gt;0,"Win",IF($K52&lt;0,"Loss","BE")))</f>
        <v/>
      </c>
      <c r="O52" s="10" t="str">
        <f aca="false">IF($K52="","",SUMIF($K$2:$K52,"&lt;&gt;"))</f>
        <v/>
      </c>
      <c r="P52" s="13"/>
    </row>
    <row r="53" customFormat="false" ht="15" hidden="false" customHeight="true" outlineLevel="0" collapsed="false">
      <c r="A53" s="7" t="n">
        <v>52</v>
      </c>
      <c r="B53" s="8"/>
      <c r="C53" s="8"/>
      <c r="D53" s="8"/>
      <c r="E53" s="8"/>
      <c r="F53" s="8"/>
      <c r="G53" s="9"/>
      <c r="H53" s="9"/>
      <c r="I53" s="9"/>
      <c r="J53" s="9"/>
      <c r="K53" s="10" t="str">
        <f aca="false">IF($G53="","",(IF($D53="Short",$G53-$H53,$H53-$G53)*$F53)-IF($J53="",0,$J53))</f>
        <v/>
      </c>
      <c r="L53" s="11" t="str">
        <f aca="false">IF(OR($G53="",$H53=""),"",$K53/($G53*$F53))</f>
        <v/>
      </c>
      <c r="M53" s="12" t="str">
        <f aca="false">IF(OR($G53="",$I53="",$G53=$I53),"",$K53/(ABS($G53-$I53)*$F53))</f>
        <v/>
      </c>
      <c r="N53" s="7" t="str">
        <f aca="false">IF($K53="","",IF($K53&gt;0,"Win",IF($K53&lt;0,"Loss","BE")))</f>
        <v/>
      </c>
      <c r="O53" s="10" t="str">
        <f aca="false">IF($K53="","",SUMIF($K$2:$K53,"&lt;&gt;"))</f>
        <v/>
      </c>
      <c r="P53" s="13"/>
    </row>
    <row r="54" customFormat="false" ht="15" hidden="false" customHeight="true" outlineLevel="0" collapsed="false">
      <c r="A54" s="7" t="n">
        <v>53</v>
      </c>
      <c r="B54" s="8"/>
      <c r="C54" s="8"/>
      <c r="D54" s="8"/>
      <c r="E54" s="8"/>
      <c r="F54" s="8"/>
      <c r="G54" s="9"/>
      <c r="H54" s="9"/>
      <c r="I54" s="9"/>
      <c r="J54" s="9"/>
      <c r="K54" s="10" t="str">
        <f aca="false">IF($G54="","",(IF($D54="Short",$G54-$H54,$H54-$G54)*$F54)-IF($J54="",0,$J54))</f>
        <v/>
      </c>
      <c r="L54" s="11" t="str">
        <f aca="false">IF(OR($G54="",$H54=""),"",$K54/($G54*$F54))</f>
        <v/>
      </c>
      <c r="M54" s="12" t="str">
        <f aca="false">IF(OR($G54="",$I54="",$G54=$I54),"",$K54/(ABS($G54-$I54)*$F54))</f>
        <v/>
      </c>
      <c r="N54" s="7" t="str">
        <f aca="false">IF($K54="","",IF($K54&gt;0,"Win",IF($K54&lt;0,"Loss","BE")))</f>
        <v/>
      </c>
      <c r="O54" s="10" t="str">
        <f aca="false">IF($K54="","",SUMIF($K$2:$K54,"&lt;&gt;"))</f>
        <v/>
      </c>
      <c r="P54" s="13"/>
    </row>
    <row r="55" customFormat="false" ht="15" hidden="false" customHeight="true" outlineLevel="0" collapsed="false">
      <c r="A55" s="7" t="n">
        <v>54</v>
      </c>
      <c r="B55" s="8"/>
      <c r="C55" s="8"/>
      <c r="D55" s="8"/>
      <c r="E55" s="8"/>
      <c r="F55" s="8"/>
      <c r="G55" s="9"/>
      <c r="H55" s="9"/>
      <c r="I55" s="9"/>
      <c r="J55" s="9"/>
      <c r="K55" s="10" t="str">
        <f aca="false">IF($G55="","",(IF($D55="Short",$G55-$H55,$H55-$G55)*$F55)-IF($J55="",0,$J55))</f>
        <v/>
      </c>
      <c r="L55" s="11" t="str">
        <f aca="false">IF(OR($G55="",$H55=""),"",$K55/($G55*$F55))</f>
        <v/>
      </c>
      <c r="M55" s="12" t="str">
        <f aca="false">IF(OR($G55="",$I55="",$G55=$I55),"",$K55/(ABS($G55-$I55)*$F55))</f>
        <v/>
      </c>
      <c r="N55" s="7" t="str">
        <f aca="false">IF($K55="","",IF($K55&gt;0,"Win",IF($K55&lt;0,"Loss","BE")))</f>
        <v/>
      </c>
      <c r="O55" s="10" t="str">
        <f aca="false">IF($K55="","",SUMIF($K$2:$K55,"&lt;&gt;"))</f>
        <v/>
      </c>
      <c r="P55" s="13"/>
    </row>
    <row r="56" customFormat="false" ht="15" hidden="false" customHeight="true" outlineLevel="0" collapsed="false">
      <c r="A56" s="7" t="n">
        <v>55</v>
      </c>
      <c r="B56" s="8"/>
      <c r="C56" s="8"/>
      <c r="D56" s="8"/>
      <c r="E56" s="8"/>
      <c r="F56" s="8"/>
      <c r="G56" s="9"/>
      <c r="H56" s="9"/>
      <c r="I56" s="9"/>
      <c r="J56" s="9"/>
      <c r="K56" s="10" t="str">
        <f aca="false">IF($G56="","",(IF($D56="Short",$G56-$H56,$H56-$G56)*$F56)-IF($J56="",0,$J56))</f>
        <v/>
      </c>
      <c r="L56" s="11" t="str">
        <f aca="false">IF(OR($G56="",$H56=""),"",$K56/($G56*$F56))</f>
        <v/>
      </c>
      <c r="M56" s="12" t="str">
        <f aca="false">IF(OR($G56="",$I56="",$G56=$I56),"",$K56/(ABS($G56-$I56)*$F56))</f>
        <v/>
      </c>
      <c r="N56" s="7" t="str">
        <f aca="false">IF($K56="","",IF($K56&gt;0,"Win",IF($K56&lt;0,"Loss","BE")))</f>
        <v/>
      </c>
      <c r="O56" s="10" t="str">
        <f aca="false">IF($K56="","",SUMIF($K$2:$K56,"&lt;&gt;"))</f>
        <v/>
      </c>
      <c r="P56" s="13"/>
    </row>
    <row r="57" customFormat="false" ht="15" hidden="false" customHeight="true" outlineLevel="0" collapsed="false">
      <c r="A57" s="7" t="n">
        <v>56</v>
      </c>
      <c r="B57" s="8"/>
      <c r="C57" s="8"/>
      <c r="D57" s="8"/>
      <c r="E57" s="8"/>
      <c r="F57" s="8"/>
      <c r="G57" s="9"/>
      <c r="H57" s="9"/>
      <c r="I57" s="9"/>
      <c r="J57" s="9"/>
      <c r="K57" s="10" t="str">
        <f aca="false">IF($G57="","",(IF($D57="Short",$G57-$H57,$H57-$G57)*$F57)-IF($J57="",0,$J57))</f>
        <v/>
      </c>
      <c r="L57" s="11" t="str">
        <f aca="false">IF(OR($G57="",$H57=""),"",$K57/($G57*$F57))</f>
        <v/>
      </c>
      <c r="M57" s="12" t="str">
        <f aca="false">IF(OR($G57="",$I57="",$G57=$I57),"",$K57/(ABS($G57-$I57)*$F57))</f>
        <v/>
      </c>
      <c r="N57" s="7" t="str">
        <f aca="false">IF($K57="","",IF($K57&gt;0,"Win",IF($K57&lt;0,"Loss","BE")))</f>
        <v/>
      </c>
      <c r="O57" s="10" t="str">
        <f aca="false">IF($K57="","",SUMIF($K$2:$K57,"&lt;&gt;"))</f>
        <v/>
      </c>
      <c r="P57" s="13"/>
    </row>
    <row r="58" customFormat="false" ht="15" hidden="false" customHeight="true" outlineLevel="0" collapsed="false">
      <c r="A58" s="7" t="n">
        <v>57</v>
      </c>
      <c r="B58" s="8"/>
      <c r="C58" s="8"/>
      <c r="D58" s="8"/>
      <c r="E58" s="8"/>
      <c r="F58" s="8"/>
      <c r="G58" s="9"/>
      <c r="H58" s="9"/>
      <c r="I58" s="9"/>
      <c r="J58" s="9"/>
      <c r="K58" s="10" t="str">
        <f aca="false">IF($G58="","",(IF($D58="Short",$G58-$H58,$H58-$G58)*$F58)-IF($J58="",0,$J58))</f>
        <v/>
      </c>
      <c r="L58" s="11" t="str">
        <f aca="false">IF(OR($G58="",$H58=""),"",$K58/($G58*$F58))</f>
        <v/>
      </c>
      <c r="M58" s="12" t="str">
        <f aca="false">IF(OR($G58="",$I58="",$G58=$I58),"",$K58/(ABS($G58-$I58)*$F58))</f>
        <v/>
      </c>
      <c r="N58" s="7" t="str">
        <f aca="false">IF($K58="","",IF($K58&gt;0,"Win",IF($K58&lt;0,"Loss","BE")))</f>
        <v/>
      </c>
      <c r="O58" s="10" t="str">
        <f aca="false">IF($K58="","",SUMIF($K$2:$K58,"&lt;&gt;"))</f>
        <v/>
      </c>
      <c r="P58" s="13"/>
    </row>
    <row r="59" customFormat="false" ht="15" hidden="false" customHeight="true" outlineLevel="0" collapsed="false">
      <c r="A59" s="7" t="n">
        <v>58</v>
      </c>
      <c r="B59" s="8"/>
      <c r="C59" s="8"/>
      <c r="D59" s="8"/>
      <c r="E59" s="8"/>
      <c r="F59" s="8"/>
      <c r="G59" s="9"/>
      <c r="H59" s="9"/>
      <c r="I59" s="9"/>
      <c r="J59" s="9"/>
      <c r="K59" s="10" t="str">
        <f aca="false">IF($G59="","",(IF($D59="Short",$G59-$H59,$H59-$G59)*$F59)-IF($J59="",0,$J59))</f>
        <v/>
      </c>
      <c r="L59" s="11" t="str">
        <f aca="false">IF(OR($G59="",$H59=""),"",$K59/($G59*$F59))</f>
        <v/>
      </c>
      <c r="M59" s="12" t="str">
        <f aca="false">IF(OR($G59="",$I59="",$G59=$I59),"",$K59/(ABS($G59-$I59)*$F59))</f>
        <v/>
      </c>
      <c r="N59" s="7" t="str">
        <f aca="false">IF($K59="","",IF($K59&gt;0,"Win",IF($K59&lt;0,"Loss","BE")))</f>
        <v/>
      </c>
      <c r="O59" s="10" t="str">
        <f aca="false">IF($K59="","",SUMIF($K$2:$K59,"&lt;&gt;"))</f>
        <v/>
      </c>
      <c r="P59" s="13"/>
    </row>
    <row r="60" customFormat="false" ht="15" hidden="false" customHeight="true" outlineLevel="0" collapsed="false">
      <c r="A60" s="7" t="n">
        <v>59</v>
      </c>
      <c r="B60" s="8"/>
      <c r="C60" s="8"/>
      <c r="D60" s="8"/>
      <c r="E60" s="8"/>
      <c r="F60" s="8"/>
      <c r="G60" s="9"/>
      <c r="H60" s="9"/>
      <c r="I60" s="9"/>
      <c r="J60" s="9"/>
      <c r="K60" s="10" t="str">
        <f aca="false">IF($G60="","",(IF($D60="Short",$G60-$H60,$H60-$G60)*$F60)-IF($J60="",0,$J60))</f>
        <v/>
      </c>
      <c r="L60" s="11" t="str">
        <f aca="false">IF(OR($G60="",$H60=""),"",$K60/($G60*$F60))</f>
        <v/>
      </c>
      <c r="M60" s="12" t="str">
        <f aca="false">IF(OR($G60="",$I60="",$G60=$I60),"",$K60/(ABS($G60-$I60)*$F60))</f>
        <v/>
      </c>
      <c r="N60" s="7" t="str">
        <f aca="false">IF($K60="","",IF($K60&gt;0,"Win",IF($K60&lt;0,"Loss","BE")))</f>
        <v/>
      </c>
      <c r="O60" s="10" t="str">
        <f aca="false">IF($K60="","",SUMIF($K$2:$K60,"&lt;&gt;"))</f>
        <v/>
      </c>
      <c r="P60" s="13"/>
    </row>
    <row r="61" customFormat="false" ht="15" hidden="false" customHeight="true" outlineLevel="0" collapsed="false">
      <c r="A61" s="7" t="n">
        <v>60</v>
      </c>
      <c r="B61" s="8"/>
      <c r="C61" s="8"/>
      <c r="D61" s="8"/>
      <c r="E61" s="8"/>
      <c r="F61" s="8"/>
      <c r="G61" s="9"/>
      <c r="H61" s="9"/>
      <c r="I61" s="9"/>
      <c r="J61" s="9"/>
      <c r="K61" s="10" t="str">
        <f aca="false">IF($G61="","",(IF($D61="Short",$G61-$H61,$H61-$G61)*$F61)-IF($J61="",0,$J61))</f>
        <v/>
      </c>
      <c r="L61" s="11" t="str">
        <f aca="false">IF(OR($G61="",$H61=""),"",$K61/($G61*$F61))</f>
        <v/>
      </c>
      <c r="M61" s="12" t="str">
        <f aca="false">IF(OR($G61="",$I61="",$G61=$I61),"",$K61/(ABS($G61-$I61)*$F61))</f>
        <v/>
      </c>
      <c r="N61" s="7" t="str">
        <f aca="false">IF($K61="","",IF($K61&gt;0,"Win",IF($K61&lt;0,"Loss","BE")))</f>
        <v/>
      </c>
      <c r="O61" s="10" t="str">
        <f aca="false">IF($K61="","",SUMIF($K$2:$K61,"&lt;&gt;"))</f>
        <v/>
      </c>
      <c r="P61" s="13"/>
    </row>
    <row r="62" customFormat="false" ht="15" hidden="false" customHeight="true" outlineLevel="0" collapsed="false">
      <c r="A62" s="7" t="n">
        <v>61</v>
      </c>
      <c r="B62" s="8"/>
      <c r="C62" s="8"/>
      <c r="D62" s="8"/>
      <c r="E62" s="8"/>
      <c r="F62" s="8"/>
      <c r="G62" s="9"/>
      <c r="H62" s="9"/>
      <c r="I62" s="9"/>
      <c r="J62" s="9"/>
      <c r="K62" s="10" t="str">
        <f aca="false">IF($G62="","",(IF($D62="Short",$G62-$H62,$H62-$G62)*$F62)-IF($J62="",0,$J62))</f>
        <v/>
      </c>
      <c r="L62" s="11" t="str">
        <f aca="false">IF(OR($G62="",$H62=""),"",$K62/($G62*$F62))</f>
        <v/>
      </c>
      <c r="M62" s="12" t="str">
        <f aca="false">IF(OR($G62="",$I62="",$G62=$I62),"",$K62/(ABS($G62-$I62)*$F62))</f>
        <v/>
      </c>
      <c r="N62" s="7" t="str">
        <f aca="false">IF($K62="","",IF($K62&gt;0,"Win",IF($K62&lt;0,"Loss","BE")))</f>
        <v/>
      </c>
      <c r="O62" s="10" t="str">
        <f aca="false">IF($K62="","",SUMIF($K$2:$K62,"&lt;&gt;"))</f>
        <v/>
      </c>
      <c r="P62" s="13"/>
    </row>
    <row r="63" customFormat="false" ht="15" hidden="false" customHeight="true" outlineLevel="0" collapsed="false">
      <c r="A63" s="7" t="n">
        <v>62</v>
      </c>
      <c r="B63" s="8"/>
      <c r="C63" s="8"/>
      <c r="D63" s="8"/>
      <c r="E63" s="8"/>
      <c r="F63" s="8"/>
      <c r="G63" s="9"/>
      <c r="H63" s="9"/>
      <c r="I63" s="9"/>
      <c r="J63" s="9"/>
      <c r="K63" s="10" t="str">
        <f aca="false">IF($G63="","",(IF($D63="Short",$G63-$H63,$H63-$G63)*$F63)-IF($J63="",0,$J63))</f>
        <v/>
      </c>
      <c r="L63" s="11" t="str">
        <f aca="false">IF(OR($G63="",$H63=""),"",$K63/($G63*$F63))</f>
        <v/>
      </c>
      <c r="M63" s="12" t="str">
        <f aca="false">IF(OR($G63="",$I63="",$G63=$I63),"",$K63/(ABS($G63-$I63)*$F63))</f>
        <v/>
      </c>
      <c r="N63" s="7" t="str">
        <f aca="false">IF($K63="","",IF($K63&gt;0,"Win",IF($K63&lt;0,"Loss","BE")))</f>
        <v/>
      </c>
      <c r="O63" s="10" t="str">
        <f aca="false">IF($K63="","",SUMIF($K$2:$K63,"&lt;&gt;"))</f>
        <v/>
      </c>
      <c r="P63" s="13"/>
    </row>
    <row r="64" customFormat="false" ht="15" hidden="false" customHeight="true" outlineLevel="0" collapsed="false">
      <c r="A64" s="7" t="n">
        <v>63</v>
      </c>
      <c r="B64" s="8"/>
      <c r="C64" s="8"/>
      <c r="D64" s="8"/>
      <c r="E64" s="8"/>
      <c r="F64" s="8"/>
      <c r="G64" s="9"/>
      <c r="H64" s="9"/>
      <c r="I64" s="9"/>
      <c r="J64" s="9"/>
      <c r="K64" s="10" t="str">
        <f aca="false">IF($G64="","",(IF($D64="Short",$G64-$H64,$H64-$G64)*$F64)-IF($J64="",0,$J64))</f>
        <v/>
      </c>
      <c r="L64" s="11" t="str">
        <f aca="false">IF(OR($G64="",$H64=""),"",$K64/($G64*$F64))</f>
        <v/>
      </c>
      <c r="M64" s="12" t="str">
        <f aca="false">IF(OR($G64="",$I64="",$G64=$I64),"",$K64/(ABS($G64-$I64)*$F64))</f>
        <v/>
      </c>
      <c r="N64" s="7" t="str">
        <f aca="false">IF($K64="","",IF($K64&gt;0,"Win",IF($K64&lt;0,"Loss","BE")))</f>
        <v/>
      </c>
      <c r="O64" s="10" t="str">
        <f aca="false">IF($K64="","",SUMIF($K$2:$K64,"&lt;&gt;"))</f>
        <v/>
      </c>
      <c r="P64" s="13"/>
    </row>
    <row r="65" customFormat="false" ht="15" hidden="false" customHeight="true" outlineLevel="0" collapsed="false">
      <c r="A65" s="7" t="n">
        <v>64</v>
      </c>
      <c r="B65" s="8"/>
      <c r="C65" s="8"/>
      <c r="D65" s="8"/>
      <c r="E65" s="8"/>
      <c r="F65" s="8"/>
      <c r="G65" s="9"/>
      <c r="H65" s="9"/>
      <c r="I65" s="9"/>
      <c r="J65" s="9"/>
      <c r="K65" s="10" t="str">
        <f aca="false">IF($G65="","",(IF($D65="Short",$G65-$H65,$H65-$G65)*$F65)-IF($J65="",0,$J65))</f>
        <v/>
      </c>
      <c r="L65" s="11" t="str">
        <f aca="false">IF(OR($G65="",$H65=""),"",$K65/($G65*$F65))</f>
        <v/>
      </c>
      <c r="M65" s="12" t="str">
        <f aca="false">IF(OR($G65="",$I65="",$G65=$I65),"",$K65/(ABS($G65-$I65)*$F65))</f>
        <v/>
      </c>
      <c r="N65" s="7" t="str">
        <f aca="false">IF($K65="","",IF($K65&gt;0,"Win",IF($K65&lt;0,"Loss","BE")))</f>
        <v/>
      </c>
      <c r="O65" s="10" t="str">
        <f aca="false">IF($K65="","",SUMIF($K$2:$K65,"&lt;&gt;"))</f>
        <v/>
      </c>
      <c r="P65" s="13"/>
    </row>
    <row r="66" customFormat="false" ht="15" hidden="false" customHeight="true" outlineLevel="0" collapsed="false">
      <c r="A66" s="7" t="n">
        <v>65</v>
      </c>
      <c r="B66" s="8"/>
      <c r="C66" s="8"/>
      <c r="D66" s="8"/>
      <c r="E66" s="8"/>
      <c r="F66" s="8"/>
      <c r="G66" s="9"/>
      <c r="H66" s="9"/>
      <c r="I66" s="9"/>
      <c r="J66" s="9"/>
      <c r="K66" s="10" t="str">
        <f aca="false">IF($G66="","",(IF($D66="Short",$G66-$H66,$H66-$G66)*$F66)-IF($J66="",0,$J66))</f>
        <v/>
      </c>
      <c r="L66" s="11" t="str">
        <f aca="false">IF(OR($G66="",$H66=""),"",$K66/($G66*$F66))</f>
        <v/>
      </c>
      <c r="M66" s="12" t="str">
        <f aca="false">IF(OR($G66="",$I66="",$G66=$I66),"",$K66/(ABS($G66-$I66)*$F66))</f>
        <v/>
      </c>
      <c r="N66" s="7" t="str">
        <f aca="false">IF($K66="","",IF($K66&gt;0,"Win",IF($K66&lt;0,"Loss","BE")))</f>
        <v/>
      </c>
      <c r="O66" s="10" t="str">
        <f aca="false">IF($K66="","",SUMIF($K$2:$K66,"&lt;&gt;"))</f>
        <v/>
      </c>
      <c r="P66" s="13"/>
    </row>
    <row r="67" customFormat="false" ht="15" hidden="false" customHeight="true" outlineLevel="0" collapsed="false">
      <c r="A67" s="7" t="n">
        <v>66</v>
      </c>
      <c r="B67" s="8"/>
      <c r="C67" s="8"/>
      <c r="D67" s="8"/>
      <c r="E67" s="8"/>
      <c r="F67" s="8"/>
      <c r="G67" s="9"/>
      <c r="H67" s="9"/>
      <c r="I67" s="9"/>
      <c r="J67" s="9"/>
      <c r="K67" s="10" t="str">
        <f aca="false">IF($G67="","",(IF($D67="Short",$G67-$H67,$H67-$G67)*$F67)-IF($J67="",0,$J67))</f>
        <v/>
      </c>
      <c r="L67" s="11" t="str">
        <f aca="false">IF(OR($G67="",$H67=""),"",$K67/($G67*$F67))</f>
        <v/>
      </c>
      <c r="M67" s="12" t="str">
        <f aca="false">IF(OR($G67="",$I67="",$G67=$I67),"",$K67/(ABS($G67-$I67)*$F67))</f>
        <v/>
      </c>
      <c r="N67" s="7" t="str">
        <f aca="false">IF($K67="","",IF($K67&gt;0,"Win",IF($K67&lt;0,"Loss","BE")))</f>
        <v/>
      </c>
      <c r="O67" s="10" t="str">
        <f aca="false">IF($K67="","",SUMIF($K$2:$K67,"&lt;&gt;"))</f>
        <v/>
      </c>
      <c r="P67" s="13"/>
    </row>
    <row r="68" customFormat="false" ht="15" hidden="false" customHeight="true" outlineLevel="0" collapsed="false">
      <c r="A68" s="7" t="n">
        <v>67</v>
      </c>
      <c r="B68" s="8"/>
      <c r="C68" s="8"/>
      <c r="D68" s="8"/>
      <c r="E68" s="8"/>
      <c r="F68" s="8"/>
      <c r="G68" s="9"/>
      <c r="H68" s="9"/>
      <c r="I68" s="9"/>
      <c r="J68" s="9"/>
      <c r="K68" s="10" t="str">
        <f aca="false">IF($G68="","",(IF($D68="Short",$G68-$H68,$H68-$G68)*$F68)-IF($J68="",0,$J68))</f>
        <v/>
      </c>
      <c r="L68" s="11" t="str">
        <f aca="false">IF(OR($G68="",$H68=""),"",$K68/($G68*$F68))</f>
        <v/>
      </c>
      <c r="M68" s="12" t="str">
        <f aca="false">IF(OR($G68="",$I68="",$G68=$I68),"",$K68/(ABS($G68-$I68)*$F68))</f>
        <v/>
      </c>
      <c r="N68" s="7" t="str">
        <f aca="false">IF($K68="","",IF($K68&gt;0,"Win",IF($K68&lt;0,"Loss","BE")))</f>
        <v/>
      </c>
      <c r="O68" s="10" t="str">
        <f aca="false">IF($K68="","",SUMIF($K$2:$K68,"&lt;&gt;"))</f>
        <v/>
      </c>
      <c r="P68" s="13"/>
    </row>
    <row r="69" customFormat="false" ht="15" hidden="false" customHeight="true" outlineLevel="0" collapsed="false">
      <c r="A69" s="7" t="n">
        <v>68</v>
      </c>
      <c r="B69" s="8"/>
      <c r="C69" s="8"/>
      <c r="D69" s="8"/>
      <c r="E69" s="8"/>
      <c r="F69" s="8"/>
      <c r="G69" s="9"/>
      <c r="H69" s="9"/>
      <c r="I69" s="9"/>
      <c r="J69" s="9"/>
      <c r="K69" s="10" t="str">
        <f aca="false">IF($G69="","",(IF($D69="Short",$G69-$H69,$H69-$G69)*$F69)-IF($J69="",0,$J69))</f>
        <v/>
      </c>
      <c r="L69" s="11" t="str">
        <f aca="false">IF(OR($G69="",$H69=""),"",$K69/($G69*$F69))</f>
        <v/>
      </c>
      <c r="M69" s="12" t="str">
        <f aca="false">IF(OR($G69="",$I69="",$G69=$I69),"",$K69/(ABS($G69-$I69)*$F69))</f>
        <v/>
      </c>
      <c r="N69" s="7" t="str">
        <f aca="false">IF($K69="","",IF($K69&gt;0,"Win",IF($K69&lt;0,"Loss","BE")))</f>
        <v/>
      </c>
      <c r="O69" s="10" t="str">
        <f aca="false">IF($K69="","",SUMIF($K$2:$K69,"&lt;&gt;"))</f>
        <v/>
      </c>
      <c r="P69" s="13"/>
    </row>
    <row r="70" customFormat="false" ht="15" hidden="false" customHeight="true" outlineLevel="0" collapsed="false">
      <c r="A70" s="7" t="n">
        <v>69</v>
      </c>
      <c r="B70" s="8"/>
      <c r="C70" s="8"/>
      <c r="D70" s="8"/>
      <c r="E70" s="8"/>
      <c r="F70" s="8"/>
      <c r="G70" s="9"/>
      <c r="H70" s="9"/>
      <c r="I70" s="9"/>
      <c r="J70" s="9"/>
      <c r="K70" s="10" t="str">
        <f aca="false">IF($G70="","",(IF($D70="Short",$G70-$H70,$H70-$G70)*$F70)-IF($J70="",0,$J70))</f>
        <v/>
      </c>
      <c r="L70" s="11" t="str">
        <f aca="false">IF(OR($G70="",$H70=""),"",$K70/($G70*$F70))</f>
        <v/>
      </c>
      <c r="M70" s="12" t="str">
        <f aca="false">IF(OR($G70="",$I70="",$G70=$I70),"",$K70/(ABS($G70-$I70)*$F70))</f>
        <v/>
      </c>
      <c r="N70" s="7" t="str">
        <f aca="false">IF($K70="","",IF($K70&gt;0,"Win",IF($K70&lt;0,"Loss","BE")))</f>
        <v/>
      </c>
      <c r="O70" s="10" t="str">
        <f aca="false">IF($K70="","",SUMIF($K$2:$K70,"&lt;&gt;"))</f>
        <v/>
      </c>
      <c r="P70" s="13"/>
    </row>
    <row r="71" customFormat="false" ht="15" hidden="false" customHeight="true" outlineLevel="0" collapsed="false">
      <c r="A71" s="7" t="n">
        <v>70</v>
      </c>
      <c r="B71" s="8"/>
      <c r="C71" s="8"/>
      <c r="D71" s="8"/>
      <c r="E71" s="8"/>
      <c r="F71" s="8"/>
      <c r="G71" s="9"/>
      <c r="H71" s="9"/>
      <c r="I71" s="9"/>
      <c r="J71" s="9"/>
      <c r="K71" s="10" t="str">
        <f aca="false">IF($G71="","",(IF($D71="Short",$G71-$H71,$H71-$G71)*$F71)-IF($J71="",0,$J71))</f>
        <v/>
      </c>
      <c r="L71" s="11" t="str">
        <f aca="false">IF(OR($G71="",$H71=""),"",$K71/($G71*$F71))</f>
        <v/>
      </c>
      <c r="M71" s="12" t="str">
        <f aca="false">IF(OR($G71="",$I71="",$G71=$I71),"",$K71/(ABS($G71-$I71)*$F71))</f>
        <v/>
      </c>
      <c r="N71" s="7" t="str">
        <f aca="false">IF($K71="","",IF($K71&gt;0,"Win",IF($K71&lt;0,"Loss","BE")))</f>
        <v/>
      </c>
      <c r="O71" s="10" t="str">
        <f aca="false">IF($K71="","",SUMIF($K$2:$K71,"&lt;&gt;"))</f>
        <v/>
      </c>
      <c r="P71" s="13"/>
    </row>
    <row r="72" customFormat="false" ht="15" hidden="false" customHeight="true" outlineLevel="0" collapsed="false">
      <c r="A72" s="7" t="n">
        <v>71</v>
      </c>
      <c r="B72" s="8"/>
      <c r="C72" s="8"/>
      <c r="D72" s="8"/>
      <c r="E72" s="8"/>
      <c r="F72" s="8"/>
      <c r="G72" s="9"/>
      <c r="H72" s="9"/>
      <c r="I72" s="9"/>
      <c r="J72" s="9"/>
      <c r="K72" s="10" t="str">
        <f aca="false">IF($G72="","",(IF($D72="Short",$G72-$H72,$H72-$G72)*$F72)-IF($J72="",0,$J72))</f>
        <v/>
      </c>
      <c r="L72" s="11" t="str">
        <f aca="false">IF(OR($G72="",$H72=""),"",$K72/($G72*$F72))</f>
        <v/>
      </c>
      <c r="M72" s="12" t="str">
        <f aca="false">IF(OR($G72="",$I72="",$G72=$I72),"",$K72/(ABS($G72-$I72)*$F72))</f>
        <v/>
      </c>
      <c r="N72" s="7" t="str">
        <f aca="false">IF($K72="","",IF($K72&gt;0,"Win",IF($K72&lt;0,"Loss","BE")))</f>
        <v/>
      </c>
      <c r="O72" s="10" t="str">
        <f aca="false">IF($K72="","",SUMIF($K$2:$K72,"&lt;&gt;"))</f>
        <v/>
      </c>
      <c r="P72" s="13"/>
    </row>
    <row r="73" customFormat="false" ht="15" hidden="false" customHeight="true" outlineLevel="0" collapsed="false">
      <c r="A73" s="7" t="n">
        <v>72</v>
      </c>
      <c r="B73" s="8"/>
      <c r="C73" s="8"/>
      <c r="D73" s="8"/>
      <c r="E73" s="8"/>
      <c r="F73" s="8"/>
      <c r="G73" s="9"/>
      <c r="H73" s="9"/>
      <c r="I73" s="9"/>
      <c r="J73" s="9"/>
      <c r="K73" s="10" t="str">
        <f aca="false">IF($G73="","",(IF($D73="Short",$G73-$H73,$H73-$G73)*$F73)-IF($J73="",0,$J73))</f>
        <v/>
      </c>
      <c r="L73" s="11" t="str">
        <f aca="false">IF(OR($G73="",$H73=""),"",$K73/($G73*$F73))</f>
        <v/>
      </c>
      <c r="M73" s="12" t="str">
        <f aca="false">IF(OR($G73="",$I73="",$G73=$I73),"",$K73/(ABS($G73-$I73)*$F73))</f>
        <v/>
      </c>
      <c r="N73" s="7" t="str">
        <f aca="false">IF($K73="","",IF($K73&gt;0,"Win",IF($K73&lt;0,"Loss","BE")))</f>
        <v/>
      </c>
      <c r="O73" s="10" t="str">
        <f aca="false">IF($K73="","",SUMIF($K$2:$K73,"&lt;&gt;"))</f>
        <v/>
      </c>
      <c r="P73" s="13"/>
    </row>
    <row r="74" customFormat="false" ht="15" hidden="false" customHeight="true" outlineLevel="0" collapsed="false">
      <c r="A74" s="7" t="n">
        <v>73</v>
      </c>
      <c r="B74" s="8"/>
      <c r="C74" s="8"/>
      <c r="D74" s="8"/>
      <c r="E74" s="8"/>
      <c r="F74" s="8"/>
      <c r="G74" s="9"/>
      <c r="H74" s="9"/>
      <c r="I74" s="9"/>
      <c r="J74" s="9"/>
      <c r="K74" s="10" t="str">
        <f aca="false">IF($G74="","",(IF($D74="Short",$G74-$H74,$H74-$G74)*$F74)-IF($J74="",0,$J74))</f>
        <v/>
      </c>
      <c r="L74" s="11" t="str">
        <f aca="false">IF(OR($G74="",$H74=""),"",$K74/($G74*$F74))</f>
        <v/>
      </c>
      <c r="M74" s="12" t="str">
        <f aca="false">IF(OR($G74="",$I74="",$G74=$I74),"",$K74/(ABS($G74-$I74)*$F74))</f>
        <v/>
      </c>
      <c r="N74" s="7" t="str">
        <f aca="false">IF($K74="","",IF($K74&gt;0,"Win",IF($K74&lt;0,"Loss","BE")))</f>
        <v/>
      </c>
      <c r="O74" s="10" t="str">
        <f aca="false">IF($K74="","",SUMIF($K$2:$K74,"&lt;&gt;"))</f>
        <v/>
      </c>
      <c r="P74" s="13"/>
    </row>
    <row r="75" customFormat="false" ht="15" hidden="false" customHeight="true" outlineLevel="0" collapsed="false">
      <c r="A75" s="7" t="n">
        <v>74</v>
      </c>
      <c r="B75" s="8"/>
      <c r="C75" s="8"/>
      <c r="D75" s="8"/>
      <c r="E75" s="8"/>
      <c r="F75" s="8"/>
      <c r="G75" s="9"/>
      <c r="H75" s="9"/>
      <c r="I75" s="9"/>
      <c r="J75" s="9"/>
      <c r="K75" s="10" t="str">
        <f aca="false">IF($G75="","",(IF($D75="Short",$G75-$H75,$H75-$G75)*$F75)-IF($J75="",0,$J75))</f>
        <v/>
      </c>
      <c r="L75" s="11" t="str">
        <f aca="false">IF(OR($G75="",$H75=""),"",$K75/($G75*$F75))</f>
        <v/>
      </c>
      <c r="M75" s="12" t="str">
        <f aca="false">IF(OR($G75="",$I75="",$G75=$I75),"",$K75/(ABS($G75-$I75)*$F75))</f>
        <v/>
      </c>
      <c r="N75" s="7" t="str">
        <f aca="false">IF($K75="","",IF($K75&gt;0,"Win",IF($K75&lt;0,"Loss","BE")))</f>
        <v/>
      </c>
      <c r="O75" s="10" t="str">
        <f aca="false">IF($K75="","",SUMIF($K$2:$K75,"&lt;&gt;"))</f>
        <v/>
      </c>
      <c r="P75" s="13"/>
    </row>
    <row r="76" customFormat="false" ht="15" hidden="false" customHeight="true" outlineLevel="0" collapsed="false">
      <c r="A76" s="7" t="n">
        <v>75</v>
      </c>
      <c r="B76" s="8"/>
      <c r="C76" s="8"/>
      <c r="D76" s="8"/>
      <c r="E76" s="8"/>
      <c r="F76" s="8"/>
      <c r="G76" s="9"/>
      <c r="H76" s="9"/>
      <c r="I76" s="9"/>
      <c r="J76" s="9"/>
      <c r="K76" s="10" t="str">
        <f aca="false">IF($G76="","",(IF($D76="Short",$G76-$H76,$H76-$G76)*$F76)-IF($J76="",0,$J76))</f>
        <v/>
      </c>
      <c r="L76" s="11" t="str">
        <f aca="false">IF(OR($G76="",$H76=""),"",$K76/($G76*$F76))</f>
        <v/>
      </c>
      <c r="M76" s="12" t="str">
        <f aca="false">IF(OR($G76="",$I76="",$G76=$I76),"",$K76/(ABS($G76-$I76)*$F76))</f>
        <v/>
      </c>
      <c r="N76" s="7" t="str">
        <f aca="false">IF($K76="","",IF($K76&gt;0,"Win",IF($K76&lt;0,"Loss","BE")))</f>
        <v/>
      </c>
      <c r="O76" s="10" t="str">
        <f aca="false">IF($K76="","",SUMIF($K$2:$K76,"&lt;&gt;"))</f>
        <v/>
      </c>
      <c r="P76" s="13"/>
    </row>
    <row r="77" customFormat="false" ht="15" hidden="false" customHeight="true" outlineLevel="0" collapsed="false">
      <c r="A77" s="7" t="n">
        <v>76</v>
      </c>
      <c r="B77" s="8"/>
      <c r="C77" s="8"/>
      <c r="D77" s="8"/>
      <c r="E77" s="8"/>
      <c r="F77" s="8"/>
      <c r="G77" s="9"/>
      <c r="H77" s="9"/>
      <c r="I77" s="9"/>
      <c r="J77" s="9"/>
      <c r="K77" s="10" t="str">
        <f aca="false">IF($G77="","",(IF($D77="Short",$G77-$H77,$H77-$G77)*$F77)-IF($J77="",0,$J77))</f>
        <v/>
      </c>
      <c r="L77" s="11" t="str">
        <f aca="false">IF(OR($G77="",$H77=""),"",$K77/($G77*$F77))</f>
        <v/>
      </c>
      <c r="M77" s="12" t="str">
        <f aca="false">IF(OR($G77="",$I77="",$G77=$I77),"",$K77/(ABS($G77-$I77)*$F77))</f>
        <v/>
      </c>
      <c r="N77" s="7" t="str">
        <f aca="false">IF($K77="","",IF($K77&gt;0,"Win",IF($K77&lt;0,"Loss","BE")))</f>
        <v/>
      </c>
      <c r="O77" s="10" t="str">
        <f aca="false">IF($K77="","",SUMIF($K$2:$K77,"&lt;&gt;"))</f>
        <v/>
      </c>
      <c r="P77" s="13"/>
    </row>
    <row r="78" customFormat="false" ht="15" hidden="false" customHeight="true" outlineLevel="0" collapsed="false">
      <c r="A78" s="7" t="n">
        <v>77</v>
      </c>
      <c r="B78" s="8"/>
      <c r="C78" s="8"/>
      <c r="D78" s="8"/>
      <c r="E78" s="8"/>
      <c r="F78" s="8"/>
      <c r="G78" s="9"/>
      <c r="H78" s="9"/>
      <c r="I78" s="9"/>
      <c r="J78" s="9"/>
      <c r="K78" s="10" t="str">
        <f aca="false">IF($G78="","",(IF($D78="Short",$G78-$H78,$H78-$G78)*$F78)-IF($J78="",0,$J78))</f>
        <v/>
      </c>
      <c r="L78" s="11" t="str">
        <f aca="false">IF(OR($G78="",$H78=""),"",$K78/($G78*$F78))</f>
        <v/>
      </c>
      <c r="M78" s="12" t="str">
        <f aca="false">IF(OR($G78="",$I78="",$G78=$I78),"",$K78/(ABS($G78-$I78)*$F78))</f>
        <v/>
      </c>
      <c r="N78" s="7" t="str">
        <f aca="false">IF($K78="","",IF($K78&gt;0,"Win",IF($K78&lt;0,"Loss","BE")))</f>
        <v/>
      </c>
      <c r="O78" s="10" t="str">
        <f aca="false">IF($K78="","",SUMIF($K$2:$K78,"&lt;&gt;"))</f>
        <v/>
      </c>
      <c r="P78" s="13"/>
    </row>
    <row r="79" customFormat="false" ht="15" hidden="false" customHeight="true" outlineLevel="0" collapsed="false">
      <c r="A79" s="7" t="n">
        <v>78</v>
      </c>
      <c r="B79" s="8"/>
      <c r="C79" s="8"/>
      <c r="D79" s="8"/>
      <c r="E79" s="8"/>
      <c r="F79" s="8"/>
      <c r="G79" s="9"/>
      <c r="H79" s="9"/>
      <c r="I79" s="9"/>
      <c r="J79" s="9"/>
      <c r="K79" s="10" t="str">
        <f aca="false">IF($G79="","",(IF($D79="Short",$G79-$H79,$H79-$G79)*$F79)-IF($J79="",0,$J79))</f>
        <v/>
      </c>
      <c r="L79" s="11" t="str">
        <f aca="false">IF(OR($G79="",$H79=""),"",$K79/($G79*$F79))</f>
        <v/>
      </c>
      <c r="M79" s="12" t="str">
        <f aca="false">IF(OR($G79="",$I79="",$G79=$I79),"",$K79/(ABS($G79-$I79)*$F79))</f>
        <v/>
      </c>
      <c r="N79" s="7" t="str">
        <f aca="false">IF($K79="","",IF($K79&gt;0,"Win",IF($K79&lt;0,"Loss","BE")))</f>
        <v/>
      </c>
      <c r="O79" s="10" t="str">
        <f aca="false">IF($K79="","",SUMIF($K$2:$K79,"&lt;&gt;"))</f>
        <v/>
      </c>
      <c r="P79" s="13"/>
    </row>
    <row r="80" customFormat="false" ht="15" hidden="false" customHeight="true" outlineLevel="0" collapsed="false">
      <c r="A80" s="7" t="n">
        <v>79</v>
      </c>
      <c r="B80" s="8"/>
      <c r="C80" s="8"/>
      <c r="D80" s="8"/>
      <c r="E80" s="8"/>
      <c r="F80" s="8"/>
      <c r="G80" s="9"/>
      <c r="H80" s="9"/>
      <c r="I80" s="9"/>
      <c r="J80" s="9"/>
      <c r="K80" s="10" t="str">
        <f aca="false">IF($G80="","",(IF($D80="Short",$G80-$H80,$H80-$G80)*$F80)-IF($J80="",0,$J80))</f>
        <v/>
      </c>
      <c r="L80" s="11" t="str">
        <f aca="false">IF(OR($G80="",$H80=""),"",$K80/($G80*$F80))</f>
        <v/>
      </c>
      <c r="M80" s="12" t="str">
        <f aca="false">IF(OR($G80="",$I80="",$G80=$I80),"",$K80/(ABS($G80-$I80)*$F80))</f>
        <v/>
      </c>
      <c r="N80" s="7" t="str">
        <f aca="false">IF($K80="","",IF($K80&gt;0,"Win",IF($K80&lt;0,"Loss","BE")))</f>
        <v/>
      </c>
      <c r="O80" s="10" t="str">
        <f aca="false">IF($K80="","",SUMIF($K$2:$K80,"&lt;&gt;"))</f>
        <v/>
      </c>
      <c r="P80" s="13"/>
    </row>
    <row r="81" customFormat="false" ht="15" hidden="false" customHeight="true" outlineLevel="0" collapsed="false">
      <c r="A81" s="7" t="n">
        <v>80</v>
      </c>
      <c r="B81" s="8"/>
      <c r="C81" s="8"/>
      <c r="D81" s="8"/>
      <c r="E81" s="8"/>
      <c r="F81" s="8"/>
      <c r="G81" s="9"/>
      <c r="H81" s="9"/>
      <c r="I81" s="9"/>
      <c r="J81" s="9"/>
      <c r="K81" s="10" t="str">
        <f aca="false">IF($G81="","",(IF($D81="Short",$G81-$H81,$H81-$G81)*$F81)-IF($J81="",0,$J81))</f>
        <v/>
      </c>
      <c r="L81" s="11" t="str">
        <f aca="false">IF(OR($G81="",$H81=""),"",$K81/($G81*$F81))</f>
        <v/>
      </c>
      <c r="M81" s="12" t="str">
        <f aca="false">IF(OR($G81="",$I81="",$G81=$I81),"",$K81/(ABS($G81-$I81)*$F81))</f>
        <v/>
      </c>
      <c r="N81" s="7" t="str">
        <f aca="false">IF($K81="","",IF($K81&gt;0,"Win",IF($K81&lt;0,"Loss","BE")))</f>
        <v/>
      </c>
      <c r="O81" s="10" t="str">
        <f aca="false">IF($K81="","",SUMIF($K$2:$K81,"&lt;&gt;"))</f>
        <v/>
      </c>
      <c r="P81" s="13"/>
    </row>
    <row r="82" customFormat="false" ht="15" hidden="false" customHeight="true" outlineLevel="0" collapsed="false">
      <c r="A82" s="7" t="n">
        <v>81</v>
      </c>
      <c r="B82" s="8"/>
      <c r="C82" s="8"/>
      <c r="D82" s="8"/>
      <c r="E82" s="8"/>
      <c r="F82" s="8"/>
      <c r="G82" s="9"/>
      <c r="H82" s="9"/>
      <c r="I82" s="9"/>
      <c r="J82" s="9"/>
      <c r="K82" s="10" t="str">
        <f aca="false">IF($G82="","",(IF($D82="Short",$G82-$H82,$H82-$G82)*$F82)-IF($J82="",0,$J82))</f>
        <v/>
      </c>
      <c r="L82" s="11" t="str">
        <f aca="false">IF(OR($G82="",$H82=""),"",$K82/($G82*$F82))</f>
        <v/>
      </c>
      <c r="M82" s="12" t="str">
        <f aca="false">IF(OR($G82="",$I82="",$G82=$I82),"",$K82/(ABS($G82-$I82)*$F82))</f>
        <v/>
      </c>
      <c r="N82" s="7" t="str">
        <f aca="false">IF($K82="","",IF($K82&gt;0,"Win",IF($K82&lt;0,"Loss","BE")))</f>
        <v/>
      </c>
      <c r="O82" s="10" t="str">
        <f aca="false">IF($K82="","",SUMIF($K$2:$K82,"&lt;&gt;"))</f>
        <v/>
      </c>
      <c r="P82" s="13"/>
    </row>
    <row r="83" customFormat="false" ht="15" hidden="false" customHeight="true" outlineLevel="0" collapsed="false">
      <c r="A83" s="7" t="n">
        <v>82</v>
      </c>
      <c r="B83" s="8"/>
      <c r="C83" s="8"/>
      <c r="D83" s="8"/>
      <c r="E83" s="8"/>
      <c r="F83" s="8"/>
      <c r="G83" s="9"/>
      <c r="H83" s="9"/>
      <c r="I83" s="9"/>
      <c r="J83" s="9"/>
      <c r="K83" s="10" t="str">
        <f aca="false">IF($G83="","",(IF($D83="Short",$G83-$H83,$H83-$G83)*$F83)-IF($J83="",0,$J83))</f>
        <v/>
      </c>
      <c r="L83" s="11" t="str">
        <f aca="false">IF(OR($G83="",$H83=""),"",$K83/($G83*$F83))</f>
        <v/>
      </c>
      <c r="M83" s="12" t="str">
        <f aca="false">IF(OR($G83="",$I83="",$G83=$I83),"",$K83/(ABS($G83-$I83)*$F83))</f>
        <v/>
      </c>
      <c r="N83" s="7" t="str">
        <f aca="false">IF($K83="","",IF($K83&gt;0,"Win",IF($K83&lt;0,"Loss","BE")))</f>
        <v/>
      </c>
      <c r="O83" s="10" t="str">
        <f aca="false">IF($K83="","",SUMIF($K$2:$K83,"&lt;&gt;"))</f>
        <v/>
      </c>
      <c r="P83" s="13"/>
    </row>
    <row r="84" customFormat="false" ht="15" hidden="false" customHeight="true" outlineLevel="0" collapsed="false">
      <c r="A84" s="7" t="n">
        <v>83</v>
      </c>
      <c r="B84" s="8"/>
      <c r="C84" s="8"/>
      <c r="D84" s="8"/>
      <c r="E84" s="8"/>
      <c r="F84" s="8"/>
      <c r="G84" s="9"/>
      <c r="H84" s="9"/>
      <c r="I84" s="9"/>
      <c r="J84" s="9"/>
      <c r="K84" s="10" t="str">
        <f aca="false">IF($G84="","",(IF($D84="Short",$G84-$H84,$H84-$G84)*$F84)-IF($J84="",0,$J84))</f>
        <v/>
      </c>
      <c r="L84" s="11" t="str">
        <f aca="false">IF(OR($G84="",$H84=""),"",$K84/($G84*$F84))</f>
        <v/>
      </c>
      <c r="M84" s="12" t="str">
        <f aca="false">IF(OR($G84="",$I84="",$G84=$I84),"",$K84/(ABS($G84-$I84)*$F84))</f>
        <v/>
      </c>
      <c r="N84" s="7" t="str">
        <f aca="false">IF($K84="","",IF($K84&gt;0,"Win",IF($K84&lt;0,"Loss","BE")))</f>
        <v/>
      </c>
      <c r="O84" s="10" t="str">
        <f aca="false">IF($K84="","",SUMIF($K$2:$K84,"&lt;&gt;"))</f>
        <v/>
      </c>
      <c r="P84" s="13"/>
    </row>
    <row r="85" customFormat="false" ht="15" hidden="false" customHeight="true" outlineLevel="0" collapsed="false">
      <c r="A85" s="7" t="n">
        <v>84</v>
      </c>
      <c r="B85" s="8"/>
      <c r="C85" s="8"/>
      <c r="D85" s="8"/>
      <c r="E85" s="8"/>
      <c r="F85" s="8"/>
      <c r="G85" s="9"/>
      <c r="H85" s="9"/>
      <c r="I85" s="9"/>
      <c r="J85" s="9"/>
      <c r="K85" s="10" t="str">
        <f aca="false">IF($G85="","",(IF($D85="Short",$G85-$H85,$H85-$G85)*$F85)-IF($J85="",0,$J85))</f>
        <v/>
      </c>
      <c r="L85" s="11" t="str">
        <f aca="false">IF(OR($G85="",$H85=""),"",$K85/($G85*$F85))</f>
        <v/>
      </c>
      <c r="M85" s="12" t="str">
        <f aca="false">IF(OR($G85="",$I85="",$G85=$I85),"",$K85/(ABS($G85-$I85)*$F85))</f>
        <v/>
      </c>
      <c r="N85" s="7" t="str">
        <f aca="false">IF($K85="","",IF($K85&gt;0,"Win",IF($K85&lt;0,"Loss","BE")))</f>
        <v/>
      </c>
      <c r="O85" s="10" t="str">
        <f aca="false">IF($K85="","",SUMIF($K$2:$K85,"&lt;&gt;"))</f>
        <v/>
      </c>
      <c r="P85" s="13"/>
    </row>
    <row r="86" customFormat="false" ht="15" hidden="false" customHeight="true" outlineLevel="0" collapsed="false">
      <c r="A86" s="7" t="n">
        <v>85</v>
      </c>
      <c r="B86" s="8"/>
      <c r="C86" s="8"/>
      <c r="D86" s="8"/>
      <c r="E86" s="8"/>
      <c r="F86" s="8"/>
      <c r="G86" s="9"/>
      <c r="H86" s="9"/>
      <c r="I86" s="9"/>
      <c r="J86" s="9"/>
      <c r="K86" s="10" t="str">
        <f aca="false">IF($G86="","",(IF($D86="Short",$G86-$H86,$H86-$G86)*$F86)-IF($J86="",0,$J86))</f>
        <v/>
      </c>
      <c r="L86" s="11" t="str">
        <f aca="false">IF(OR($G86="",$H86=""),"",$K86/($G86*$F86))</f>
        <v/>
      </c>
      <c r="M86" s="12" t="str">
        <f aca="false">IF(OR($G86="",$I86="",$G86=$I86),"",$K86/(ABS($G86-$I86)*$F86))</f>
        <v/>
      </c>
      <c r="N86" s="7" t="str">
        <f aca="false">IF($K86="","",IF($K86&gt;0,"Win",IF($K86&lt;0,"Loss","BE")))</f>
        <v/>
      </c>
      <c r="O86" s="10" t="str">
        <f aca="false">IF($K86="","",SUMIF($K$2:$K86,"&lt;&gt;"))</f>
        <v/>
      </c>
      <c r="P86" s="13"/>
    </row>
    <row r="87" customFormat="false" ht="15" hidden="false" customHeight="true" outlineLevel="0" collapsed="false">
      <c r="A87" s="7" t="n">
        <v>86</v>
      </c>
      <c r="B87" s="8"/>
      <c r="C87" s="8"/>
      <c r="D87" s="8"/>
      <c r="E87" s="8"/>
      <c r="F87" s="8"/>
      <c r="G87" s="9"/>
      <c r="H87" s="9"/>
      <c r="I87" s="9"/>
      <c r="J87" s="9"/>
      <c r="K87" s="10" t="str">
        <f aca="false">IF($G87="","",(IF($D87="Short",$G87-$H87,$H87-$G87)*$F87)-IF($J87="",0,$J87))</f>
        <v/>
      </c>
      <c r="L87" s="11" t="str">
        <f aca="false">IF(OR($G87="",$H87=""),"",$K87/($G87*$F87))</f>
        <v/>
      </c>
      <c r="M87" s="12" t="str">
        <f aca="false">IF(OR($G87="",$I87="",$G87=$I87),"",$K87/(ABS($G87-$I87)*$F87))</f>
        <v/>
      </c>
      <c r="N87" s="7" t="str">
        <f aca="false">IF($K87="","",IF($K87&gt;0,"Win",IF($K87&lt;0,"Loss","BE")))</f>
        <v/>
      </c>
      <c r="O87" s="10" t="str">
        <f aca="false">IF($K87="","",SUMIF($K$2:$K87,"&lt;&gt;"))</f>
        <v/>
      </c>
      <c r="P87" s="13"/>
    </row>
    <row r="88" customFormat="false" ht="15" hidden="false" customHeight="true" outlineLevel="0" collapsed="false">
      <c r="A88" s="7" t="n">
        <v>87</v>
      </c>
      <c r="B88" s="8"/>
      <c r="C88" s="8"/>
      <c r="D88" s="8"/>
      <c r="E88" s="8"/>
      <c r="F88" s="8"/>
      <c r="G88" s="9"/>
      <c r="H88" s="9"/>
      <c r="I88" s="9"/>
      <c r="J88" s="9"/>
      <c r="K88" s="10" t="str">
        <f aca="false">IF($G88="","",(IF($D88="Short",$G88-$H88,$H88-$G88)*$F88)-IF($J88="",0,$J88))</f>
        <v/>
      </c>
      <c r="L88" s="11" t="str">
        <f aca="false">IF(OR($G88="",$H88=""),"",$K88/($G88*$F88))</f>
        <v/>
      </c>
      <c r="M88" s="12" t="str">
        <f aca="false">IF(OR($G88="",$I88="",$G88=$I88),"",$K88/(ABS($G88-$I88)*$F88))</f>
        <v/>
      </c>
      <c r="N88" s="7" t="str">
        <f aca="false">IF($K88="","",IF($K88&gt;0,"Win",IF($K88&lt;0,"Loss","BE")))</f>
        <v/>
      </c>
      <c r="O88" s="10" t="str">
        <f aca="false">IF($K88="","",SUMIF($K$2:$K88,"&lt;&gt;"))</f>
        <v/>
      </c>
      <c r="P88" s="13"/>
    </row>
    <row r="89" customFormat="false" ht="15" hidden="false" customHeight="true" outlineLevel="0" collapsed="false">
      <c r="A89" s="7" t="n">
        <v>88</v>
      </c>
      <c r="B89" s="8"/>
      <c r="C89" s="8"/>
      <c r="D89" s="8"/>
      <c r="E89" s="8"/>
      <c r="F89" s="8"/>
      <c r="G89" s="9"/>
      <c r="H89" s="9"/>
      <c r="I89" s="9"/>
      <c r="J89" s="9"/>
      <c r="K89" s="10" t="str">
        <f aca="false">IF($G89="","",(IF($D89="Short",$G89-$H89,$H89-$G89)*$F89)-IF($J89="",0,$J89))</f>
        <v/>
      </c>
      <c r="L89" s="11" t="str">
        <f aca="false">IF(OR($G89="",$H89=""),"",$K89/($G89*$F89))</f>
        <v/>
      </c>
      <c r="M89" s="12" t="str">
        <f aca="false">IF(OR($G89="",$I89="",$G89=$I89),"",$K89/(ABS($G89-$I89)*$F89))</f>
        <v/>
      </c>
      <c r="N89" s="7" t="str">
        <f aca="false">IF($K89="","",IF($K89&gt;0,"Win",IF($K89&lt;0,"Loss","BE")))</f>
        <v/>
      </c>
      <c r="O89" s="10" t="str">
        <f aca="false">IF($K89="","",SUMIF($K$2:$K89,"&lt;&gt;"))</f>
        <v/>
      </c>
      <c r="P89" s="13"/>
    </row>
    <row r="90" customFormat="false" ht="15" hidden="false" customHeight="true" outlineLevel="0" collapsed="false">
      <c r="A90" s="7" t="n">
        <v>89</v>
      </c>
      <c r="B90" s="8"/>
      <c r="C90" s="8"/>
      <c r="D90" s="8"/>
      <c r="E90" s="8"/>
      <c r="F90" s="8"/>
      <c r="G90" s="9"/>
      <c r="H90" s="9"/>
      <c r="I90" s="9"/>
      <c r="J90" s="9"/>
      <c r="K90" s="10" t="str">
        <f aca="false">IF($G90="","",(IF($D90="Short",$G90-$H90,$H90-$G90)*$F90)-IF($J90="",0,$J90))</f>
        <v/>
      </c>
      <c r="L90" s="11" t="str">
        <f aca="false">IF(OR($G90="",$H90=""),"",$K90/($G90*$F90))</f>
        <v/>
      </c>
      <c r="M90" s="12" t="str">
        <f aca="false">IF(OR($G90="",$I90="",$G90=$I90),"",$K90/(ABS($G90-$I90)*$F90))</f>
        <v/>
      </c>
      <c r="N90" s="7" t="str">
        <f aca="false">IF($K90="","",IF($K90&gt;0,"Win",IF($K90&lt;0,"Loss","BE")))</f>
        <v/>
      </c>
      <c r="O90" s="10" t="str">
        <f aca="false">IF($K90="","",SUMIF($K$2:$K90,"&lt;&gt;"))</f>
        <v/>
      </c>
      <c r="P90" s="13"/>
    </row>
    <row r="91" customFormat="false" ht="15" hidden="false" customHeight="true" outlineLevel="0" collapsed="false">
      <c r="A91" s="7" t="n">
        <v>90</v>
      </c>
      <c r="B91" s="8"/>
      <c r="C91" s="8"/>
      <c r="D91" s="8"/>
      <c r="E91" s="8"/>
      <c r="F91" s="8"/>
      <c r="G91" s="9"/>
      <c r="H91" s="9"/>
      <c r="I91" s="9"/>
      <c r="J91" s="9"/>
      <c r="K91" s="10" t="str">
        <f aca="false">IF($G91="","",(IF($D91="Short",$G91-$H91,$H91-$G91)*$F91)-IF($J91="",0,$J91))</f>
        <v/>
      </c>
      <c r="L91" s="11" t="str">
        <f aca="false">IF(OR($G91="",$H91=""),"",$K91/($G91*$F91))</f>
        <v/>
      </c>
      <c r="M91" s="12" t="str">
        <f aca="false">IF(OR($G91="",$I91="",$G91=$I91),"",$K91/(ABS($G91-$I91)*$F91))</f>
        <v/>
      </c>
      <c r="N91" s="7" t="str">
        <f aca="false">IF($K91="","",IF($K91&gt;0,"Win",IF($K91&lt;0,"Loss","BE")))</f>
        <v/>
      </c>
      <c r="O91" s="10" t="str">
        <f aca="false">IF($K91="","",SUMIF($K$2:$K91,"&lt;&gt;"))</f>
        <v/>
      </c>
      <c r="P91" s="13"/>
    </row>
    <row r="92" customFormat="false" ht="15" hidden="false" customHeight="true" outlineLevel="0" collapsed="false">
      <c r="A92" s="7" t="n">
        <v>91</v>
      </c>
      <c r="B92" s="8"/>
      <c r="C92" s="8"/>
      <c r="D92" s="8"/>
      <c r="E92" s="8"/>
      <c r="F92" s="8"/>
      <c r="G92" s="9"/>
      <c r="H92" s="9"/>
      <c r="I92" s="9"/>
      <c r="J92" s="9"/>
      <c r="K92" s="10" t="str">
        <f aca="false">IF($G92="","",(IF($D92="Short",$G92-$H92,$H92-$G92)*$F92)-IF($J92="",0,$J92))</f>
        <v/>
      </c>
      <c r="L92" s="11" t="str">
        <f aca="false">IF(OR($G92="",$H92=""),"",$K92/($G92*$F92))</f>
        <v/>
      </c>
      <c r="M92" s="12" t="str">
        <f aca="false">IF(OR($G92="",$I92="",$G92=$I92),"",$K92/(ABS($G92-$I92)*$F92))</f>
        <v/>
      </c>
      <c r="N92" s="7" t="str">
        <f aca="false">IF($K92="","",IF($K92&gt;0,"Win",IF($K92&lt;0,"Loss","BE")))</f>
        <v/>
      </c>
      <c r="O92" s="10" t="str">
        <f aca="false">IF($K92="","",SUMIF($K$2:$K92,"&lt;&gt;"))</f>
        <v/>
      </c>
      <c r="P92" s="13"/>
    </row>
    <row r="93" customFormat="false" ht="15" hidden="false" customHeight="true" outlineLevel="0" collapsed="false">
      <c r="A93" s="7" t="n">
        <v>92</v>
      </c>
      <c r="B93" s="8"/>
      <c r="C93" s="8"/>
      <c r="D93" s="8"/>
      <c r="E93" s="8"/>
      <c r="F93" s="8"/>
      <c r="G93" s="9"/>
      <c r="H93" s="9"/>
      <c r="I93" s="9"/>
      <c r="J93" s="9"/>
      <c r="K93" s="10" t="str">
        <f aca="false">IF($G93="","",(IF($D93="Short",$G93-$H93,$H93-$G93)*$F93)-IF($J93="",0,$J93))</f>
        <v/>
      </c>
      <c r="L93" s="11" t="str">
        <f aca="false">IF(OR($G93="",$H93=""),"",$K93/($G93*$F93))</f>
        <v/>
      </c>
      <c r="M93" s="12" t="str">
        <f aca="false">IF(OR($G93="",$I93="",$G93=$I93),"",$K93/(ABS($G93-$I93)*$F93))</f>
        <v/>
      </c>
      <c r="N93" s="7" t="str">
        <f aca="false">IF($K93="","",IF($K93&gt;0,"Win",IF($K93&lt;0,"Loss","BE")))</f>
        <v/>
      </c>
      <c r="O93" s="10" t="str">
        <f aca="false">IF($K93="","",SUMIF($K$2:$K93,"&lt;&gt;"))</f>
        <v/>
      </c>
      <c r="P93" s="13"/>
    </row>
    <row r="94" customFormat="false" ht="15" hidden="false" customHeight="true" outlineLevel="0" collapsed="false">
      <c r="A94" s="7" t="n">
        <v>93</v>
      </c>
      <c r="B94" s="8"/>
      <c r="C94" s="8"/>
      <c r="D94" s="8"/>
      <c r="E94" s="8"/>
      <c r="F94" s="8"/>
      <c r="G94" s="9"/>
      <c r="H94" s="9"/>
      <c r="I94" s="9"/>
      <c r="J94" s="9"/>
      <c r="K94" s="10" t="str">
        <f aca="false">IF($G94="","",(IF($D94="Short",$G94-$H94,$H94-$G94)*$F94)-IF($J94="",0,$J94))</f>
        <v/>
      </c>
      <c r="L94" s="11" t="str">
        <f aca="false">IF(OR($G94="",$H94=""),"",$K94/($G94*$F94))</f>
        <v/>
      </c>
      <c r="M94" s="12" t="str">
        <f aca="false">IF(OR($G94="",$I94="",$G94=$I94),"",$K94/(ABS($G94-$I94)*$F94))</f>
        <v/>
      </c>
      <c r="N94" s="7" t="str">
        <f aca="false">IF($K94="","",IF($K94&gt;0,"Win",IF($K94&lt;0,"Loss","BE")))</f>
        <v/>
      </c>
      <c r="O94" s="10" t="str">
        <f aca="false">IF($K94="","",SUMIF($K$2:$K94,"&lt;&gt;"))</f>
        <v/>
      </c>
      <c r="P94" s="13"/>
    </row>
    <row r="95" customFormat="false" ht="15" hidden="false" customHeight="true" outlineLevel="0" collapsed="false">
      <c r="A95" s="7" t="n">
        <v>94</v>
      </c>
      <c r="B95" s="8"/>
      <c r="C95" s="8"/>
      <c r="D95" s="8"/>
      <c r="E95" s="8"/>
      <c r="F95" s="8"/>
      <c r="G95" s="9"/>
      <c r="H95" s="9"/>
      <c r="I95" s="9"/>
      <c r="J95" s="9"/>
      <c r="K95" s="10" t="str">
        <f aca="false">IF($G95="","",(IF($D95="Short",$G95-$H95,$H95-$G95)*$F95)-IF($J95="",0,$J95))</f>
        <v/>
      </c>
      <c r="L95" s="11" t="str">
        <f aca="false">IF(OR($G95="",$H95=""),"",$K95/($G95*$F95))</f>
        <v/>
      </c>
      <c r="M95" s="12" t="str">
        <f aca="false">IF(OR($G95="",$I95="",$G95=$I95),"",$K95/(ABS($G95-$I95)*$F95))</f>
        <v/>
      </c>
      <c r="N95" s="7" t="str">
        <f aca="false">IF($K95="","",IF($K95&gt;0,"Win",IF($K95&lt;0,"Loss","BE")))</f>
        <v/>
      </c>
      <c r="O95" s="10" t="str">
        <f aca="false">IF($K95="","",SUMIF($K$2:$K95,"&lt;&gt;"))</f>
        <v/>
      </c>
      <c r="P95" s="13"/>
    </row>
    <row r="96" customFormat="false" ht="15" hidden="false" customHeight="true" outlineLevel="0" collapsed="false">
      <c r="A96" s="7" t="n">
        <v>95</v>
      </c>
      <c r="B96" s="8"/>
      <c r="C96" s="8"/>
      <c r="D96" s="8"/>
      <c r="E96" s="8"/>
      <c r="F96" s="8"/>
      <c r="G96" s="9"/>
      <c r="H96" s="9"/>
      <c r="I96" s="9"/>
      <c r="J96" s="9"/>
      <c r="K96" s="10" t="str">
        <f aca="false">IF($G96="","",(IF($D96="Short",$G96-$H96,$H96-$G96)*$F96)-IF($J96="",0,$J96))</f>
        <v/>
      </c>
      <c r="L96" s="11" t="str">
        <f aca="false">IF(OR($G96="",$H96=""),"",$K96/($G96*$F96))</f>
        <v/>
      </c>
      <c r="M96" s="12" t="str">
        <f aca="false">IF(OR($G96="",$I96="",$G96=$I96),"",$K96/(ABS($G96-$I96)*$F96))</f>
        <v/>
      </c>
      <c r="N96" s="7" t="str">
        <f aca="false">IF($K96="","",IF($K96&gt;0,"Win",IF($K96&lt;0,"Loss","BE")))</f>
        <v/>
      </c>
      <c r="O96" s="10" t="str">
        <f aca="false">IF($K96="","",SUMIF($K$2:$K96,"&lt;&gt;"))</f>
        <v/>
      </c>
      <c r="P96" s="13"/>
    </row>
    <row r="97" customFormat="false" ht="15" hidden="false" customHeight="true" outlineLevel="0" collapsed="false">
      <c r="A97" s="7" t="n">
        <v>96</v>
      </c>
      <c r="B97" s="8"/>
      <c r="C97" s="8"/>
      <c r="D97" s="8"/>
      <c r="E97" s="8"/>
      <c r="F97" s="8"/>
      <c r="G97" s="9"/>
      <c r="H97" s="9"/>
      <c r="I97" s="9"/>
      <c r="J97" s="9"/>
      <c r="K97" s="10" t="str">
        <f aca="false">IF($G97="","",(IF($D97="Short",$G97-$H97,$H97-$G97)*$F97)-IF($J97="",0,$J97))</f>
        <v/>
      </c>
      <c r="L97" s="11" t="str">
        <f aca="false">IF(OR($G97="",$H97=""),"",$K97/($G97*$F97))</f>
        <v/>
      </c>
      <c r="M97" s="12" t="str">
        <f aca="false">IF(OR($G97="",$I97="",$G97=$I97),"",$K97/(ABS($G97-$I97)*$F97))</f>
        <v/>
      </c>
      <c r="N97" s="7" t="str">
        <f aca="false">IF($K97="","",IF($K97&gt;0,"Win",IF($K97&lt;0,"Loss","BE")))</f>
        <v/>
      </c>
      <c r="O97" s="10" t="str">
        <f aca="false">IF($K97="","",SUMIF($K$2:$K97,"&lt;&gt;"))</f>
        <v/>
      </c>
      <c r="P97" s="13"/>
    </row>
    <row r="98" customFormat="false" ht="15" hidden="false" customHeight="true" outlineLevel="0" collapsed="false">
      <c r="A98" s="7" t="n">
        <v>97</v>
      </c>
      <c r="B98" s="8"/>
      <c r="C98" s="8"/>
      <c r="D98" s="8"/>
      <c r="E98" s="8"/>
      <c r="F98" s="8"/>
      <c r="G98" s="9"/>
      <c r="H98" s="9"/>
      <c r="I98" s="9"/>
      <c r="J98" s="9"/>
      <c r="K98" s="10" t="str">
        <f aca="false">IF($G98="","",(IF($D98="Short",$G98-$H98,$H98-$G98)*$F98)-IF($J98="",0,$J98))</f>
        <v/>
      </c>
      <c r="L98" s="11" t="str">
        <f aca="false">IF(OR($G98="",$H98=""),"",$K98/($G98*$F98))</f>
        <v/>
      </c>
      <c r="M98" s="12" t="str">
        <f aca="false">IF(OR($G98="",$I98="",$G98=$I98),"",$K98/(ABS($G98-$I98)*$F98))</f>
        <v/>
      </c>
      <c r="N98" s="7" t="str">
        <f aca="false">IF($K98="","",IF($K98&gt;0,"Win",IF($K98&lt;0,"Loss","BE")))</f>
        <v/>
      </c>
      <c r="O98" s="10" t="str">
        <f aca="false">IF($K98="","",SUMIF($K$2:$K98,"&lt;&gt;"))</f>
        <v/>
      </c>
      <c r="P98" s="13"/>
    </row>
    <row r="99" customFormat="false" ht="15" hidden="false" customHeight="true" outlineLevel="0" collapsed="false">
      <c r="A99" s="7" t="n">
        <v>98</v>
      </c>
      <c r="B99" s="8"/>
      <c r="C99" s="8"/>
      <c r="D99" s="8"/>
      <c r="E99" s="8"/>
      <c r="F99" s="8"/>
      <c r="G99" s="9"/>
      <c r="H99" s="9"/>
      <c r="I99" s="9"/>
      <c r="J99" s="9"/>
      <c r="K99" s="10" t="str">
        <f aca="false">IF($G99="","",(IF($D99="Short",$G99-$H99,$H99-$G99)*$F99)-IF($J99="",0,$J99))</f>
        <v/>
      </c>
      <c r="L99" s="11" t="str">
        <f aca="false">IF(OR($G99="",$H99=""),"",$K99/($G99*$F99))</f>
        <v/>
      </c>
      <c r="M99" s="12" t="str">
        <f aca="false">IF(OR($G99="",$I99="",$G99=$I99),"",$K99/(ABS($G99-$I99)*$F99))</f>
        <v/>
      </c>
      <c r="N99" s="7" t="str">
        <f aca="false">IF($K99="","",IF($K99&gt;0,"Win",IF($K99&lt;0,"Loss","BE")))</f>
        <v/>
      </c>
      <c r="O99" s="10" t="str">
        <f aca="false">IF($K99="","",SUMIF($K$2:$K99,"&lt;&gt;"))</f>
        <v/>
      </c>
      <c r="P99" s="13"/>
    </row>
    <row r="100" customFormat="false" ht="15" hidden="false" customHeight="true" outlineLevel="0" collapsed="false">
      <c r="A100" s="7" t="n">
        <v>99</v>
      </c>
      <c r="B100" s="8"/>
      <c r="C100" s="8"/>
      <c r="D100" s="8"/>
      <c r="E100" s="8"/>
      <c r="F100" s="8"/>
      <c r="G100" s="9"/>
      <c r="H100" s="9"/>
      <c r="I100" s="9"/>
      <c r="J100" s="9"/>
      <c r="K100" s="10" t="str">
        <f aca="false">IF($G100="","",(IF($D100="Short",$G100-$H100,$H100-$G100)*$F100)-IF($J100="",0,$J100))</f>
        <v/>
      </c>
      <c r="L100" s="11" t="str">
        <f aca="false">IF(OR($G100="",$H100=""),"",$K100/($G100*$F100))</f>
        <v/>
      </c>
      <c r="M100" s="12" t="str">
        <f aca="false">IF(OR($G100="",$I100="",$G100=$I100),"",$K100/(ABS($G100-$I100)*$F100))</f>
        <v/>
      </c>
      <c r="N100" s="7" t="str">
        <f aca="false">IF($K100="","",IF($K100&gt;0,"Win",IF($K100&lt;0,"Loss","BE")))</f>
        <v/>
      </c>
      <c r="O100" s="10" t="str">
        <f aca="false">IF($K100="","",SUMIF($K$2:$K100,"&lt;&gt;"))</f>
        <v/>
      </c>
      <c r="P100" s="13"/>
    </row>
    <row r="101" customFormat="false" ht="15" hidden="false" customHeight="true" outlineLevel="0" collapsed="false">
      <c r="A101" s="7" t="n">
        <v>100</v>
      </c>
      <c r="B101" s="8"/>
      <c r="C101" s="8"/>
      <c r="D101" s="8"/>
      <c r="E101" s="8"/>
      <c r="F101" s="8"/>
      <c r="G101" s="9"/>
      <c r="H101" s="9"/>
      <c r="I101" s="9"/>
      <c r="J101" s="9"/>
      <c r="K101" s="10" t="str">
        <f aca="false">IF($G101="","",(IF($D101="Short",$G101-$H101,$H101-$G101)*$F101)-IF($J101="",0,$J101))</f>
        <v/>
      </c>
      <c r="L101" s="11" t="str">
        <f aca="false">IF(OR($G101="",$H101=""),"",$K101/($G101*$F101))</f>
        <v/>
      </c>
      <c r="M101" s="12" t="str">
        <f aca="false">IF(OR($G101="",$I101="",$G101=$I101),"",$K101/(ABS($G101-$I101)*$F101))</f>
        <v/>
      </c>
      <c r="N101" s="7" t="str">
        <f aca="false">IF($K101="","",IF($K101&gt;0,"Win",IF($K101&lt;0,"Loss","BE")))</f>
        <v/>
      </c>
      <c r="O101" s="10" t="str">
        <f aca="false">IF($K101="","",SUMIF($K$2:$K101,"&lt;&gt;"))</f>
        <v/>
      </c>
      <c r="P101" s="13"/>
    </row>
  </sheetData>
  <conditionalFormatting sqref="N2:N101">
    <cfRule type="cellIs" priority="2" operator="equal" aboveAverage="0" equalAverage="0" bottom="0" percent="0" rank="0" text="" dxfId="0">
      <formula>"Win"</formula>
    </cfRule>
    <cfRule type="cellIs" priority="3" operator="equal" aboveAverage="0" equalAverage="0" bottom="0" percent="0" rank="0" text="" dxfId="1">
      <formula>"Loss"</formula>
    </cfRule>
  </conditionalFormatting>
  <dataValidations count="1">
    <dataValidation allowBlank="true" errorStyle="stop" operator="between" showDropDown="false" showErrorMessage="false" showInputMessage="false" sqref="D2:D101" type="list">
      <formula1>"Long,Short"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4" min="3" style="1" width="14"/>
    <col collapsed="false" customWidth="true" hidden="false" outlineLevel="0" max="5" min="5" style="1" width="18"/>
    <col collapsed="false" customWidth="true" hidden="false" outlineLevel="0" max="6" min="6" style="1" width="14"/>
  </cols>
  <sheetData>
    <row r="2" customFormat="false" ht="21.75" hidden="false" customHeight="true" outlineLevel="0" collapsed="false">
      <c r="B2" s="14" t="s">
        <v>32</v>
      </c>
    </row>
    <row r="4" customFormat="false" ht="15" hidden="false" customHeight="true" outlineLevel="0" collapsed="false">
      <c r="B4" s="4" t="s">
        <v>33</v>
      </c>
      <c r="E4" s="4" t="s">
        <v>34</v>
      </c>
    </row>
    <row r="5" customFormat="false" ht="15" hidden="false" customHeight="true" outlineLevel="0" collapsed="false">
      <c r="B5" s="15" t="s">
        <v>35</v>
      </c>
      <c r="C5" s="16" t="n">
        <f aca="false">COUNT('Trade Log'!$K$2:$K$101)</f>
        <v>0</v>
      </c>
      <c r="E5" s="15" t="s">
        <v>36</v>
      </c>
      <c r="F5" s="17" t="n">
        <f aca="false">SUMIF('Trade Log'!$K$2:$K$101,"&gt;0")</f>
        <v>0</v>
      </c>
    </row>
    <row r="6" customFormat="false" ht="15" hidden="false" customHeight="true" outlineLevel="0" collapsed="false">
      <c r="B6" s="15" t="s">
        <v>37</v>
      </c>
      <c r="C6" s="16" t="n">
        <f aca="false">COUNTIF('Trade Log'!$N$2:$N$101,"Win")</f>
        <v>0</v>
      </c>
      <c r="E6" s="15" t="s">
        <v>38</v>
      </c>
      <c r="F6" s="17" t="n">
        <f aca="false">SUMIF('Trade Log'!$K$2:$K$101,"&lt;0")</f>
        <v>0</v>
      </c>
    </row>
    <row r="7" customFormat="false" ht="15" hidden="false" customHeight="true" outlineLevel="0" collapsed="false">
      <c r="B7" s="15" t="s">
        <v>39</v>
      </c>
      <c r="C7" s="16" t="n">
        <f aca="false">COUNTIF('Trade Log'!$N$2:$N$101,"Loss")</f>
        <v>0</v>
      </c>
      <c r="E7" s="15" t="s">
        <v>40</v>
      </c>
      <c r="F7" s="18" t="str">
        <f aca="false">IF(SUMIF('Trade Log'!$K$2:$K$101,"&lt;0")=0,"—",-SUMIF('Trade Log'!$K$2:$K$101,"&gt;0")/SUMIF('Trade Log'!$K$2:$K$101,"&lt;0"))</f>
        <v>—</v>
      </c>
    </row>
    <row r="8" customFormat="false" ht="15" hidden="false" customHeight="true" outlineLevel="0" collapsed="false">
      <c r="B8" s="15" t="s">
        <v>41</v>
      </c>
      <c r="C8" s="19" t="n">
        <f aca="false">IF(C5=0,0,(C6+COUNTIF('Trade Log'!$N$2:$N$101,"BE")*0)/C5)</f>
        <v>0</v>
      </c>
      <c r="E8" s="15" t="s">
        <v>42</v>
      </c>
      <c r="F8" s="17" t="n">
        <f aca="false">IFERROR(AVERAGEIF('Trade Log'!$K$2:$K$101,"&gt;0"),0)</f>
        <v>0</v>
      </c>
    </row>
    <row r="9" customFormat="false" ht="15" hidden="false" customHeight="true" outlineLevel="0" collapsed="false">
      <c r="B9" s="15" t="s">
        <v>43</v>
      </c>
      <c r="C9" s="17" t="n">
        <f aca="false">SUM('Trade Log'!$K$2:$K$101)</f>
        <v>0</v>
      </c>
      <c r="E9" s="15" t="s">
        <v>44</v>
      </c>
      <c r="F9" s="17" t="n">
        <f aca="false">IFERROR(AVERAGEIF('Trade Log'!$K$2:$K$101,"&lt;0"),0)</f>
        <v>0</v>
      </c>
    </row>
    <row r="10" customFormat="false" ht="15" hidden="false" customHeight="true" outlineLevel="0" collapsed="false">
      <c r="B10" s="15" t="s">
        <v>45</v>
      </c>
      <c r="C10" s="17" t="n">
        <f aca="false">IF(C5=0,0,C9/C5)</f>
        <v>0</v>
      </c>
      <c r="E10" s="15" t="s">
        <v>46</v>
      </c>
      <c r="F10" s="18" t="str">
        <f aca="false">IF(IFERROR(AVERAGEIF('Trade Log'!$K$2:$K$101,"&lt;0"),0)=0,"—",-IFERROR(AVERAGEIF('Trade Log'!$K$2:$K$101,"&gt;0"),0)/AVERAGEIF('Trade Log'!$K$2:$K$101,"&lt;0"))</f>
        <v>—</v>
      </c>
    </row>
    <row r="11" customFormat="false" ht="15" hidden="false" customHeight="true" outlineLevel="0" collapsed="false">
      <c r="B11" s="15" t="s">
        <v>47</v>
      </c>
      <c r="C11" s="20" t="n">
        <f aca="false">IF(COUNT('Trade Log'!$M$2:$M$101)=0,0,AVERAGE('Trade Log'!$M$2:$M$101))</f>
        <v>0</v>
      </c>
      <c r="E11" s="15" t="s">
        <v>48</v>
      </c>
      <c r="F11" s="17" t="n">
        <f aca="false">SUM('Trade Log'!$J$2:$J$101)</f>
        <v>0</v>
      </c>
    </row>
    <row r="13" customFormat="false" ht="15" hidden="false" customHeight="true" outlineLevel="0" collapsed="false">
      <c r="B13" s="4" t="s">
        <v>49</v>
      </c>
      <c r="E13" s="4" t="s">
        <v>50</v>
      </c>
    </row>
    <row r="14" customFormat="false" ht="15" hidden="false" customHeight="true" outlineLevel="0" collapsed="false">
      <c r="B14" s="21" t="s">
        <v>20</v>
      </c>
      <c r="C14" s="21" t="s">
        <v>51</v>
      </c>
      <c r="D14" s="21" t="s">
        <v>52</v>
      </c>
      <c r="E14" s="21" t="s">
        <v>53</v>
      </c>
      <c r="F14" s="17" t="n">
        <f aca="false">IF(C5=0,0,MAX('Trade Log'!$K$2:$K$101))</f>
        <v>0</v>
      </c>
    </row>
    <row r="15" customFormat="false" ht="15" hidden="false" customHeight="true" outlineLevel="0" collapsed="false">
      <c r="B15" s="22" t="s">
        <v>54</v>
      </c>
      <c r="C15" s="7" t="n">
        <f aca="false">IF($B15="","",COUNTIFS('Trade Log'!$E$2:$E$101,$B15,'Trade Log'!$K$2:$K$101,"&lt;&gt;"))</f>
        <v>0</v>
      </c>
      <c r="D15" s="23" t="n">
        <f aca="false">IF($B15="","",SUMIF('Trade Log'!$E$2:$E$101,$B15,'Trade Log'!$K$2:$K$101))</f>
        <v>0</v>
      </c>
      <c r="E15" s="24" t="str">
        <f aca="false">IF(OR($B15="",$C15=0),"",COUNTIFS('Trade Log'!$E$2:$E$101,$B15,'Trade Log'!$N$2:$N$101,"Win")/$C15)</f>
        <v/>
      </c>
      <c r="F15" s="17" t="n">
        <f aca="false">IF(C5=0,0,MIN('Trade Log'!$K$2:$K$101))</f>
        <v>0</v>
      </c>
    </row>
    <row r="16" customFormat="false" ht="15" hidden="false" customHeight="true" outlineLevel="0" collapsed="false">
      <c r="B16" s="22" t="s">
        <v>55</v>
      </c>
      <c r="C16" s="7" t="n">
        <f aca="false">IF($B16="","",COUNTIFS('Trade Log'!$E$2:$E$101,$B16,'Trade Log'!$K$2:$K$101,"&lt;&gt;"))</f>
        <v>0</v>
      </c>
      <c r="D16" s="23" t="n">
        <f aca="false">IF($B16="","",SUMIF('Trade Log'!$E$2:$E$101,$B16,'Trade Log'!$K$2:$K$101))</f>
        <v>0</v>
      </c>
      <c r="E16" s="25" t="str">
        <f aca="false">IF(OR($B16="",$C16=0),"",COUNTIFS('Trade Log'!$E$2:$E$101,$B16,'Trade Log'!$N$2:$N$101,"Win")/$C16)</f>
        <v/>
      </c>
    </row>
    <row r="17" customFormat="false" ht="15" hidden="false" customHeight="true" outlineLevel="0" collapsed="false">
      <c r="B17" s="22" t="s">
        <v>56</v>
      </c>
      <c r="C17" s="7" t="n">
        <f aca="false">IF($B17="","",COUNTIFS('Trade Log'!$E$2:$E$101,$B17,'Trade Log'!$K$2:$K$101,"&lt;&gt;"))</f>
        <v>0</v>
      </c>
      <c r="D17" s="23" t="n">
        <f aca="false">IF($B17="","",SUMIF('Trade Log'!$E$2:$E$101,$B17,'Trade Log'!$K$2:$K$101))</f>
        <v>0</v>
      </c>
      <c r="E17" s="25" t="str">
        <f aca="false">IF(OR($B17="",$C17=0),"",COUNTIFS('Trade Log'!$E$2:$E$101,$B17,'Trade Log'!$N$2:$N$101,"Win")/$C17)</f>
        <v/>
      </c>
    </row>
    <row r="18" customFormat="false" ht="15" hidden="false" customHeight="true" outlineLevel="0" collapsed="false">
      <c r="B18" s="22" t="s">
        <v>57</v>
      </c>
      <c r="C18" s="7" t="n">
        <f aca="false">IF($B18="","",COUNTIFS('Trade Log'!$E$2:$E$101,$B18,'Trade Log'!$K$2:$K$101,"&lt;&gt;"))</f>
        <v>0</v>
      </c>
      <c r="D18" s="23" t="n">
        <f aca="false">IF($B18="","",SUMIF('Trade Log'!$E$2:$E$101,$B18,'Trade Log'!$K$2:$K$101))</f>
        <v>0</v>
      </c>
      <c r="E18" s="25" t="str">
        <f aca="false">IF(OR($B18="",$C18=0),"",COUNTIFS('Trade Log'!$E$2:$E$101,$B18,'Trade Log'!$N$2:$N$101,"Win")/$C18)</f>
        <v/>
      </c>
    </row>
    <row r="19" customFormat="false" ht="15" hidden="false" customHeight="true" outlineLevel="0" collapsed="false">
      <c r="B19" s="22"/>
      <c r="C19" s="7" t="str">
        <f aca="false">IF($B19="","",COUNTIFS('Trade Log'!$E$2:$E$101,$B19,'Trade Log'!$K$2:$K$101,"&lt;&gt;"))</f>
        <v/>
      </c>
      <c r="D19" s="23" t="str">
        <f aca="false">IF($B19="","",SUMIF('Trade Log'!$E$2:$E$101,$B19,'Trade Log'!$K$2:$K$101))</f>
        <v/>
      </c>
      <c r="E19" s="25" t="str">
        <f aca="false">IF(OR($B19="",$C19=0),"",COUNTIFS('Trade Log'!$E$2:$E$101,$B19,'Trade Log'!$N$2:$N$101,"Win")/$C19)</f>
        <v/>
      </c>
    </row>
    <row r="20" customFormat="false" ht="15" hidden="false" customHeight="true" outlineLevel="0" collapsed="false">
      <c r="B20" s="22"/>
      <c r="C20" s="7" t="str">
        <f aca="false">IF($B20="","",COUNTIFS('Trade Log'!$E$2:$E$101,$B20,'Trade Log'!$K$2:$K$101,"&lt;&gt;"))</f>
        <v/>
      </c>
      <c r="D20" s="23" t="str">
        <f aca="false">IF($B20="","",SUMIF('Trade Log'!$E$2:$E$101,$B20,'Trade Log'!$K$2:$K$101))</f>
        <v/>
      </c>
      <c r="E20" s="25" t="str">
        <f aca="false">IF(OR($B20="",$C20=0),"",COUNTIFS('Trade Log'!$E$2:$E$101,$B20,'Trade Log'!$N$2:$N$101,"Win")/$C20)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16"/>
  </cols>
  <sheetData>
    <row r="2" customFormat="false" ht="21.75" hidden="false" customHeight="true" outlineLevel="0" collapsed="false">
      <c r="B2" s="14" t="s">
        <v>58</v>
      </c>
    </row>
    <row r="3" customFormat="false" ht="15" hidden="false" customHeight="true" outlineLevel="0" collapsed="false">
      <c r="B3" s="26" t="s">
        <v>59</v>
      </c>
    </row>
    <row r="5" customFormat="false" ht="15" hidden="false" customHeight="true" outlineLevel="0" collapsed="false">
      <c r="B5" s="4" t="s">
        <v>60</v>
      </c>
    </row>
    <row r="6" customFormat="false" ht="15" hidden="false" customHeight="true" outlineLevel="0" collapsed="false">
      <c r="B6" s="15" t="s">
        <v>61</v>
      </c>
      <c r="C6" s="27" t="n">
        <v>10000</v>
      </c>
    </row>
    <row r="7" customFormat="false" ht="15" hidden="false" customHeight="true" outlineLevel="0" collapsed="false">
      <c r="B7" s="15" t="s">
        <v>62</v>
      </c>
      <c r="C7" s="28" t="n">
        <v>0.01</v>
      </c>
    </row>
    <row r="8" customFormat="false" ht="15" hidden="false" customHeight="true" outlineLevel="0" collapsed="false">
      <c r="B8" s="15" t="s">
        <v>63</v>
      </c>
      <c r="C8" s="29" t="n">
        <v>8.15</v>
      </c>
    </row>
    <row r="9" customFormat="false" ht="15" hidden="false" customHeight="true" outlineLevel="0" collapsed="false">
      <c r="B9" s="15" t="s">
        <v>64</v>
      </c>
      <c r="C9" s="29" t="n">
        <v>7.98</v>
      </c>
    </row>
    <row r="11" customFormat="false" ht="15" hidden="false" customHeight="true" outlineLevel="0" collapsed="false">
      <c r="B11" s="4" t="s">
        <v>65</v>
      </c>
    </row>
    <row r="12" customFormat="false" ht="15" hidden="false" customHeight="true" outlineLevel="0" collapsed="false">
      <c r="B12" s="30" t="s">
        <v>66</v>
      </c>
      <c r="C12" s="31" t="n">
        <f aca="false">C6*C7</f>
        <v>100</v>
      </c>
    </row>
    <row r="13" customFormat="false" ht="15" hidden="false" customHeight="true" outlineLevel="0" collapsed="false">
      <c r="B13" s="30" t="s">
        <v>67</v>
      </c>
      <c r="C13" s="31" t="n">
        <f aca="false">ABS(C8-C9)</f>
        <v>0.17</v>
      </c>
    </row>
    <row r="14" customFormat="false" ht="15" hidden="false" customHeight="true" outlineLevel="0" collapsed="false">
      <c r="B14" s="32" t="s">
        <v>68</v>
      </c>
      <c r="C14" s="33" t="n">
        <f aca="false">IF(ABS(C8-C9)=0,0,ROUNDDOWN(C12/ABS(C8-C9),0))</f>
        <v>588</v>
      </c>
    </row>
    <row r="15" customFormat="false" ht="15" hidden="false" customHeight="true" outlineLevel="0" collapsed="false">
      <c r="B15" s="30" t="s">
        <v>69</v>
      </c>
      <c r="C15" s="31" t="n">
        <f aca="false">C14*C8</f>
        <v>4792.2</v>
      </c>
    </row>
    <row r="16" customFormat="false" ht="15" hidden="false" customHeight="true" outlineLevel="0" collapsed="false">
      <c r="B16" s="30" t="s">
        <v>70</v>
      </c>
      <c r="C16" s="34" t="n">
        <f aca="false">IF(C6=0,0,C15/C6)</f>
        <v>0.47922</v>
      </c>
    </row>
    <row r="18" customFormat="false" ht="15" hidden="false" customHeight="true" outlineLevel="0" collapsed="false">
      <c r="B18" s="35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2026-07-04T03:59:48Z</dcterms:created>
  <dc:creator>openpyxl</dc:creator>
  <dc:description/>
  <dc:language>en-US</dc:language>
  <cp:lastModifiedBy/>
  <dcterms:modified xsi:type="dcterms:W3CDTF">2026-07-04T04:09:21Z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